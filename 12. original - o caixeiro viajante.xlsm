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mateus.lopes\Documents\mateusbtlopes\simplex-lp-solver-excel\"/>
    </mc:Choice>
  </mc:AlternateContent>
  <xr:revisionPtr revIDLastSave="0" documentId="13_ncr:1_{4C9936BD-2EC3-4B89-9FE7-B17393E027CC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Caixeiro Viajante" sheetId="1" r:id="rId1"/>
  </sheets>
  <definedNames>
    <definedName name="_xlnm._FilterDatabase" localSheetId="0" hidden="1">'Caixeiro Viajante'!$A$1:$F$21</definedName>
    <definedName name="solver_adj" localSheetId="0" hidden="1">'Caixeiro Viajante'!$D$2:$E$21</definedName>
    <definedName name="solver_cvg" localSheetId="0" hidden="1">0.0001</definedName>
    <definedName name="solver_drv" localSheetId="0" hidden="1">1</definedName>
    <definedName name="solver_eng" localSheetId="0" hidden="1">2</definedName>
    <definedName name="solver_est" localSheetId="0" hidden="1">1</definedName>
    <definedName name="solver_itr" localSheetId="0" hidden="1">2147483647</definedName>
    <definedName name="solver_lhs1" localSheetId="0" hidden="1">'Caixeiro Viajante'!$D$2:$D$21</definedName>
    <definedName name="solver_lhs2" localSheetId="0" hidden="1">'Caixeiro Viajante'!$E$2:$E$21</definedName>
    <definedName name="solver_lhs3" localSheetId="0" hidden="1">'Caixeiro Viajante'!$E$2:$E$21</definedName>
    <definedName name="solver_lhs4" localSheetId="0" hidden="1">'Caixeiro Viajante'!$I$2:$J$7</definedName>
    <definedName name="solver_lhs5" localSheetId="0" hidden="1">'Caixeiro Viajante'!$K$3:$K$7</definedName>
    <definedName name="solver_lhs6" localSheetId="0" hidden="1">'Caixeiro Viajante'!#REF!</definedName>
    <definedName name="solver_lhs7" localSheetId="0" hidden="1">'Caixeiro Viajante'!#REF!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5</definedName>
    <definedName name="solver_nwt" localSheetId="0" hidden="1">1</definedName>
    <definedName name="solver_opt" localSheetId="0" hidden="1">'Caixeiro Viajante'!$H$10</definedName>
    <definedName name="solver_pre" localSheetId="0" hidden="1">0.000001</definedName>
    <definedName name="solver_rbv" localSheetId="0" hidden="1">1</definedName>
    <definedName name="solver_rel1" localSheetId="0" hidden="1">5</definedName>
    <definedName name="solver_rel2" localSheetId="0" hidden="1">1</definedName>
    <definedName name="solver_rel3" localSheetId="0" hidden="1">4</definedName>
    <definedName name="solver_rel4" localSheetId="0" hidden="1">2</definedName>
    <definedName name="solver_rel5" localSheetId="0" hidden="1">2</definedName>
    <definedName name="solver_rel6" localSheetId="0" hidden="1">2</definedName>
    <definedName name="solver_rel7" localSheetId="0" hidden="1">2</definedName>
    <definedName name="solver_rhs1" localSheetId="0" hidden="1">binary</definedName>
    <definedName name="solver_rhs2" localSheetId="0" hidden="1">'Caixeiro Viajante'!$F$2:$F$21</definedName>
    <definedName name="solver_rhs3" localSheetId="0" hidden="1">integer</definedName>
    <definedName name="solver_rhs4" localSheetId="0" hidden="1">1</definedName>
    <definedName name="solver_rhs5" localSheetId="0" hidden="1">1</definedName>
    <definedName name="solver_rhs6" localSheetId="0" hidden="1">'Caixeiro Viajante'!#REF!</definedName>
    <definedName name="solver_rhs7" localSheetId="0" hidden="1">'Caixeiro Viajante'!#REF!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2" i="1" l="1"/>
  <c r="I2" i="1"/>
  <c r="C13" i="1"/>
  <c r="C12" i="1"/>
  <c r="C10" i="1"/>
  <c r="C9" i="1"/>
  <c r="C7" i="1"/>
  <c r="C6" i="1"/>
  <c r="C4" i="1"/>
  <c r="C3" i="1"/>
  <c r="C5" i="1"/>
  <c r="K3" i="1"/>
  <c r="K4" i="1"/>
  <c r="K5" i="1"/>
  <c r="K6" i="1"/>
  <c r="K7" i="1"/>
  <c r="K2" i="1"/>
  <c r="J3" i="1"/>
  <c r="J4" i="1"/>
  <c r="J5" i="1"/>
  <c r="J6" i="1"/>
  <c r="J7" i="1"/>
  <c r="I3" i="1"/>
  <c r="I4" i="1"/>
  <c r="I5" i="1"/>
  <c r="I6" i="1"/>
  <c r="I7" i="1"/>
  <c r="F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C19" i="1" l="1"/>
  <c r="C11" i="1"/>
  <c r="C18" i="1"/>
  <c r="C8" i="1"/>
  <c r="C17" i="1"/>
  <c r="C14" i="1"/>
  <c r="C20" i="1"/>
  <c r="C16" i="1"/>
  <c r="C15" i="1"/>
  <c r="C21" i="1"/>
  <c r="C2" i="1"/>
  <c r="H10" i="1" l="1"/>
</calcChain>
</file>

<file path=xl/sharedStrings.xml><?xml version="1.0" encoding="utf-8"?>
<sst xmlns="http://schemas.openxmlformats.org/spreadsheetml/2006/main" count="69" uniqueCount="17">
  <si>
    <t>De</t>
  </si>
  <si>
    <t>Para</t>
  </si>
  <si>
    <t>Dist</t>
  </si>
  <si>
    <t>Nó</t>
  </si>
  <si>
    <t>Check In</t>
  </si>
  <si>
    <t>Check Out</t>
  </si>
  <si>
    <t>Arco Utilizado?</t>
  </si>
  <si>
    <t>Arcos Restantes</t>
  </si>
  <si>
    <t>Arcos a Viajar</t>
  </si>
  <si>
    <t>Dist Mín.</t>
  </si>
  <si>
    <t>Máx. Arcos Restantes</t>
  </si>
  <si>
    <t>a</t>
  </si>
  <si>
    <t>b</t>
  </si>
  <si>
    <t>c</t>
  </si>
  <si>
    <t>d</t>
  </si>
  <si>
    <t>e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</si>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</sst>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0"/>
        <bgColor theme="5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2" fillId="3" borderId="1" applyNumberFormat="0" applyAlignment="0" applyProtection="0"/>
    <xf numFmtId="0" fontId="3" fillId="4" borderId="5" applyNumberFormat="0" applyAlignment="0" applyProtection="0"/>
  </cellStyleXfs>
  <cellXfs count="15">
    <xf numFmtId="0" fontId="0" fillId="0" borderId="0" xfId="0"/>
    <xf numFmtId="0" fontId="1" fillId="2" borderId="4" xfId="1" applyBorder="1" applyAlignment="1">
      <alignment horizontal="center"/>
    </xf>
    <xf numFmtId="0" fontId="1" fillId="2" borderId="1" xfId="1" applyAlignment="1">
      <alignment horizontal="center"/>
    </xf>
    <xf numFmtId="0" fontId="0" fillId="6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0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4" fillId="5" borderId="3" xfId="0" applyFont="1" applyFill="1" applyBorder="1" applyAlignment="1">
      <alignment horizontal="center"/>
    </xf>
    <xf numFmtId="0" fontId="0" fillId="6" borderId="3" xfId="0" applyFont="1" applyFill="1" applyBorder="1" applyAlignment="1">
      <alignment horizontal="center"/>
    </xf>
    <xf numFmtId="0" fontId="3" fillId="4" borderId="5" xfId="3" applyAlignment="1">
      <alignment horizontal="center" vertical="center"/>
    </xf>
    <xf numFmtId="0" fontId="2" fillId="3" borderId="1" xfId="2" applyAlignment="1">
      <alignment horizontal="center"/>
    </xf>
    <xf numFmtId="0" fontId="2" fillId="3" borderId="1" xfId="2" applyAlignment="1">
      <alignment horizontal="center" vertical="center"/>
    </xf>
  </cellXfs>
  <cellStyles count="4">
    <cellStyle name="Calculation" xfId="2" builtinId="22"/>
    <cellStyle name="Check Cell" xfId="3" builtinId="23"/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72571</xdr:colOff>
      <xdr:row>10</xdr:row>
      <xdr:rowOff>192768</xdr:rowOff>
    </xdr:from>
    <xdr:to>
      <xdr:col>13</xdr:col>
      <xdr:colOff>450681</xdr:colOff>
      <xdr:row>22</xdr:row>
      <xdr:rowOff>127000</xdr:rowOff>
    </xdr:to>
    <xdr:pic>
      <xdr:nvPicPr>
        <xdr:cNvPr id="10" name="Imagem 9" descr="Resultado de imagem para traveling salesman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52771" y="2288268"/>
          <a:ext cx="4296060" cy="24424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/>
          </a:ext>
        </a:extLst>
      </xdr:spPr>
    </xdr:pic>
    <xdr:clientData/>
  </xdr:twoCellAnchor>
  <xdr:twoCellAnchor editAs="absolute">
    <xdr:from>
      <xdr:col>7</xdr:col>
      <xdr:colOff>317500</xdr:colOff>
      <xdr:row>12</xdr:row>
      <xdr:rowOff>57150</xdr:rowOff>
    </xdr:from>
    <xdr:to>
      <xdr:col>8</xdr:col>
      <xdr:colOff>133350</xdr:colOff>
      <xdr:row>14</xdr:row>
      <xdr:rowOff>63500</xdr:rowOff>
    </xdr:to>
    <xdr:sp macro="" textlink="$C$2">
      <xdr:nvSpPr>
        <xdr:cNvPr id="68" name="Elipse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/>
      </xdr:nvSpPr>
      <xdr:spPr>
        <a:xfrm>
          <a:off x="6997700" y="2571750"/>
          <a:ext cx="425450" cy="425450"/>
        </a:xfrm>
        <a:prstGeom prst="ellipse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9A28DE61-41C0-4723-98EA-C703883A0944}" type="TxLink">
            <a:rPr lang="en-US" sz="2000" b="1" i="0" u="none" strike="noStrike">
              <a:solidFill>
                <a:srgbClr val="0070C0"/>
              </a:solidFill>
              <a:latin typeface="Calibri"/>
            </a:rPr>
            <a:pPr algn="l"/>
            <a:t>0</a:t>
          </a:fld>
          <a:endParaRPr lang="pt-BR" sz="2000" b="1">
            <a:solidFill>
              <a:srgbClr val="0070C0"/>
            </a:solidFill>
          </a:endParaRPr>
        </a:p>
      </xdr:txBody>
    </xdr:sp>
    <xdr:clientData/>
  </xdr:twoCellAnchor>
  <xdr:twoCellAnchor editAs="absolute">
    <xdr:from>
      <xdr:col>10</xdr:col>
      <xdr:colOff>260350</xdr:colOff>
      <xdr:row>9</xdr:row>
      <xdr:rowOff>177800</xdr:rowOff>
    </xdr:from>
    <xdr:to>
      <xdr:col>10</xdr:col>
      <xdr:colOff>685800</xdr:colOff>
      <xdr:row>11</xdr:row>
      <xdr:rowOff>184150</xdr:rowOff>
    </xdr:to>
    <xdr:sp macro="" textlink="$C$7">
      <xdr:nvSpPr>
        <xdr:cNvPr id="70" name="Elipse 69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/>
      </xdr:nvSpPr>
      <xdr:spPr>
        <a:xfrm>
          <a:off x="8782050" y="2063750"/>
          <a:ext cx="425450" cy="425450"/>
        </a:xfrm>
        <a:prstGeom prst="ellipse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fld id="{E72A4E56-5288-4080-B506-8C22998F1038}" type="TxLink">
            <a:rPr lang="en-US" sz="2000" b="1" i="0" u="none" strike="noStrike">
              <a:solidFill>
                <a:srgbClr val="0070C0"/>
              </a:solidFill>
              <a:latin typeface="Calibri"/>
              <a:ea typeface="+mn-ea"/>
              <a:cs typeface="+mn-cs"/>
            </a:rPr>
            <a:pPr marL="0" indent="0" algn="l"/>
            <a:t>0</a:t>
          </a:fld>
          <a:endParaRPr lang="pt-BR" sz="2000" b="1" i="0" u="none" strike="noStrike">
            <a:solidFill>
              <a:srgbClr val="0070C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10</xdr:col>
      <xdr:colOff>615950</xdr:colOff>
      <xdr:row>12</xdr:row>
      <xdr:rowOff>107950</xdr:rowOff>
    </xdr:from>
    <xdr:to>
      <xdr:col>11</xdr:col>
      <xdr:colOff>184150</xdr:colOff>
      <xdr:row>14</xdr:row>
      <xdr:rowOff>114300</xdr:rowOff>
    </xdr:to>
    <xdr:sp macro="" textlink="$C$9">
      <xdr:nvSpPr>
        <xdr:cNvPr id="71" name="Elips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9137650" y="2622550"/>
          <a:ext cx="425450" cy="425450"/>
        </a:xfrm>
        <a:prstGeom prst="ellipse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fld id="{763DB7CA-FCA4-4485-AF05-1295A2E6EF74}" type="TxLink">
            <a:rPr lang="en-US" sz="2000" b="1" i="0" u="none" strike="noStrike">
              <a:solidFill>
                <a:srgbClr val="0070C0"/>
              </a:solidFill>
              <a:latin typeface="Calibri"/>
              <a:ea typeface="+mn-ea"/>
              <a:cs typeface="+mn-cs"/>
            </a:rPr>
            <a:pPr marL="0" indent="0" algn="l"/>
            <a:t>0</a:t>
          </a:fld>
          <a:endParaRPr lang="pt-BR" sz="2000" b="1" i="0" u="none" strike="noStrike">
            <a:solidFill>
              <a:srgbClr val="0070C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9</xdr:col>
      <xdr:colOff>469900</xdr:colOff>
      <xdr:row>12</xdr:row>
      <xdr:rowOff>57150</xdr:rowOff>
    </xdr:from>
    <xdr:to>
      <xdr:col>10</xdr:col>
      <xdr:colOff>228600</xdr:colOff>
      <xdr:row>14</xdr:row>
      <xdr:rowOff>63500</xdr:rowOff>
    </xdr:to>
    <xdr:sp macro="" textlink="$C$6">
      <xdr:nvSpPr>
        <xdr:cNvPr id="72" name="Elipse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/>
      </xdr:nvSpPr>
      <xdr:spPr>
        <a:xfrm>
          <a:off x="8324850" y="2571750"/>
          <a:ext cx="425450" cy="425450"/>
        </a:xfrm>
        <a:prstGeom prst="ellipse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fld id="{42C247A2-CA6D-4670-8B62-34B2E668F646}" type="TxLink">
            <a:rPr lang="en-US" sz="2000" b="1" i="0" u="none" strike="noStrike">
              <a:solidFill>
                <a:srgbClr val="0070C0"/>
              </a:solidFill>
              <a:latin typeface="Calibri"/>
              <a:ea typeface="+mn-ea"/>
              <a:cs typeface="+mn-cs"/>
            </a:rPr>
            <a:pPr marL="0" indent="0" algn="l"/>
            <a:t>0</a:t>
          </a:fld>
          <a:endParaRPr lang="pt-BR" sz="2000" b="1" i="0" u="none" strike="noStrike">
            <a:solidFill>
              <a:srgbClr val="0070C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476250</xdr:colOff>
      <xdr:row>14</xdr:row>
      <xdr:rowOff>38100</xdr:rowOff>
    </xdr:from>
    <xdr:to>
      <xdr:col>9</xdr:col>
      <xdr:colOff>336550</xdr:colOff>
      <xdr:row>16</xdr:row>
      <xdr:rowOff>44450</xdr:rowOff>
    </xdr:to>
    <xdr:sp macro="" textlink="$C$3">
      <xdr:nvSpPr>
        <xdr:cNvPr id="73" name="Elipse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>
          <a:off x="7766050" y="2971800"/>
          <a:ext cx="425450" cy="425450"/>
        </a:xfrm>
        <a:prstGeom prst="ellipse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fld id="{E1C77072-8197-432F-8BDE-74742948F871}" type="TxLink">
            <a:rPr lang="en-US" sz="2000" b="1" i="0" u="none" strike="noStrike">
              <a:solidFill>
                <a:srgbClr val="0070C0"/>
              </a:solidFill>
              <a:latin typeface="Calibri"/>
              <a:ea typeface="+mn-ea"/>
              <a:cs typeface="+mn-cs"/>
            </a:rPr>
            <a:pPr marL="0" indent="0" algn="l"/>
            <a:t>0</a:t>
          </a:fld>
          <a:endParaRPr lang="pt-BR" sz="2000" b="1" i="0" u="none" strike="noStrike">
            <a:solidFill>
              <a:srgbClr val="0070C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393700</xdr:colOff>
      <xdr:row>19</xdr:row>
      <xdr:rowOff>120650</xdr:rowOff>
    </xdr:from>
    <xdr:to>
      <xdr:col>9</xdr:col>
      <xdr:colOff>254000</xdr:colOff>
      <xdr:row>21</xdr:row>
      <xdr:rowOff>127000</xdr:rowOff>
    </xdr:to>
    <xdr:sp macro="" textlink="$C$4">
      <xdr:nvSpPr>
        <xdr:cNvPr id="74" name="Elipse 73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/>
      </xdr:nvSpPr>
      <xdr:spPr>
        <a:xfrm>
          <a:off x="7683500" y="4102100"/>
          <a:ext cx="425450" cy="425450"/>
        </a:xfrm>
        <a:prstGeom prst="ellipse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fld id="{64DE5622-4A94-4D64-ACAF-1E82CB6C66DB}" type="TxLink">
            <a:rPr lang="en-US" sz="2000" b="1" i="0" u="none" strike="noStrike">
              <a:solidFill>
                <a:srgbClr val="0070C0"/>
              </a:solidFill>
              <a:latin typeface="Calibri"/>
              <a:ea typeface="+mn-ea"/>
              <a:cs typeface="+mn-cs"/>
            </a:rPr>
            <a:pPr marL="0" indent="0" algn="l"/>
            <a:t>0</a:t>
          </a:fld>
          <a:endParaRPr lang="pt-BR" sz="2000" b="1" i="0" u="none" strike="noStrike">
            <a:solidFill>
              <a:srgbClr val="0070C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11</xdr:col>
      <xdr:colOff>533400</xdr:colOff>
      <xdr:row>19</xdr:row>
      <xdr:rowOff>19050</xdr:rowOff>
    </xdr:from>
    <xdr:to>
      <xdr:col>12</xdr:col>
      <xdr:colOff>349250</xdr:colOff>
      <xdr:row>21</xdr:row>
      <xdr:rowOff>25400</xdr:rowOff>
    </xdr:to>
    <xdr:sp macro="" textlink="$C$16">
      <xdr:nvSpPr>
        <xdr:cNvPr id="75" name="Elipse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/>
      </xdr:nvSpPr>
      <xdr:spPr>
        <a:xfrm>
          <a:off x="9912350" y="4000500"/>
          <a:ext cx="425450" cy="425450"/>
        </a:xfrm>
        <a:prstGeom prst="ellipse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fld id="{D5D6D38B-0740-4FF0-962F-00D25B6DE09E}" type="TxLink">
            <a:rPr lang="en-US" sz="2000" b="1" i="0" u="none" strike="noStrike">
              <a:solidFill>
                <a:srgbClr val="0070C0"/>
              </a:solidFill>
              <a:latin typeface="Calibri"/>
              <a:ea typeface="+mn-ea"/>
              <a:cs typeface="+mn-cs"/>
            </a:rPr>
            <a:pPr marL="0" indent="0" algn="l"/>
            <a:t>0</a:t>
          </a:fld>
          <a:endParaRPr lang="pt-BR" sz="2000" b="1" i="0" u="none" strike="noStrike">
            <a:solidFill>
              <a:srgbClr val="0070C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10</xdr:col>
      <xdr:colOff>514350</xdr:colOff>
      <xdr:row>17</xdr:row>
      <xdr:rowOff>127000</xdr:rowOff>
    </xdr:from>
    <xdr:to>
      <xdr:col>11</xdr:col>
      <xdr:colOff>82550</xdr:colOff>
      <xdr:row>19</xdr:row>
      <xdr:rowOff>133350</xdr:rowOff>
    </xdr:to>
    <xdr:sp macro="" textlink="$C$21">
      <xdr:nvSpPr>
        <xdr:cNvPr id="76" name="Elipse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SpPr/>
      </xdr:nvSpPr>
      <xdr:spPr>
        <a:xfrm>
          <a:off x="9036050" y="3689350"/>
          <a:ext cx="425450" cy="425450"/>
        </a:xfrm>
        <a:prstGeom prst="ellipse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fld id="{29E8BC3B-AE1C-4299-93DB-D0BE9E315000}" type="TxLink">
            <a:rPr lang="en-US" sz="2000" b="1" i="0" u="none" strike="noStrike">
              <a:solidFill>
                <a:srgbClr val="0070C0"/>
              </a:solidFill>
              <a:latin typeface="Calibri"/>
              <a:ea typeface="+mn-ea"/>
              <a:cs typeface="+mn-cs"/>
            </a:rPr>
            <a:pPr marL="0" indent="0" algn="l"/>
            <a:t>0</a:t>
          </a:fld>
          <a:endParaRPr lang="pt-BR" sz="2000" b="1" i="0" u="none" strike="noStrike">
            <a:solidFill>
              <a:srgbClr val="0070C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11</xdr:col>
      <xdr:colOff>419100</xdr:colOff>
      <xdr:row>14</xdr:row>
      <xdr:rowOff>6350</xdr:rowOff>
    </xdr:from>
    <xdr:to>
      <xdr:col>12</xdr:col>
      <xdr:colOff>234950</xdr:colOff>
      <xdr:row>16</xdr:row>
      <xdr:rowOff>12700</xdr:rowOff>
    </xdr:to>
    <xdr:sp macro="" textlink="$C$20">
      <xdr:nvSpPr>
        <xdr:cNvPr id="77" name="Elipse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/>
      </xdr:nvSpPr>
      <xdr:spPr>
        <a:xfrm>
          <a:off x="9798050" y="2940050"/>
          <a:ext cx="425450" cy="425450"/>
        </a:xfrm>
        <a:prstGeom prst="ellipse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fld id="{689077CD-F05E-42F4-9E3A-0028CB9A70A6}" type="TxLink">
            <a:rPr lang="en-US" sz="2000" b="1" i="0" u="none" strike="noStrike">
              <a:solidFill>
                <a:srgbClr val="0070C0"/>
              </a:solidFill>
              <a:latin typeface="Calibri"/>
              <a:ea typeface="+mn-ea"/>
              <a:cs typeface="+mn-cs"/>
            </a:rPr>
            <a:pPr marL="0" indent="0" algn="l"/>
            <a:t>0</a:t>
          </a:fld>
          <a:endParaRPr lang="pt-BR" sz="2000" b="1" i="0" u="none" strike="noStrike">
            <a:solidFill>
              <a:srgbClr val="0070C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12</xdr:col>
      <xdr:colOff>393700</xdr:colOff>
      <xdr:row>12</xdr:row>
      <xdr:rowOff>6350</xdr:rowOff>
    </xdr:from>
    <xdr:to>
      <xdr:col>13</xdr:col>
      <xdr:colOff>209550</xdr:colOff>
      <xdr:row>14</xdr:row>
      <xdr:rowOff>12700</xdr:rowOff>
    </xdr:to>
    <xdr:sp macro="" textlink="$C$10">
      <xdr:nvSpPr>
        <xdr:cNvPr id="78" name="Elipse 77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SpPr/>
      </xdr:nvSpPr>
      <xdr:spPr>
        <a:xfrm>
          <a:off x="10382250" y="2520950"/>
          <a:ext cx="425450" cy="425450"/>
        </a:xfrm>
        <a:prstGeom prst="ellipse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fld id="{32384CF8-94B2-4FE0-8EF8-FFD038C9A6A3}" type="TxLink">
            <a:rPr lang="en-US" sz="2000" b="1" i="0" u="none" strike="noStrike">
              <a:solidFill>
                <a:srgbClr val="0070C0"/>
              </a:solidFill>
              <a:latin typeface="Calibri"/>
              <a:ea typeface="+mn-ea"/>
              <a:cs typeface="+mn-cs"/>
            </a:rPr>
            <a:pPr marL="0" indent="0" algn="l"/>
            <a:t>0</a:t>
          </a:fld>
          <a:endParaRPr lang="pt-BR" sz="2000" b="1" i="0" u="none" strike="noStrike">
            <a:solidFill>
              <a:srgbClr val="0070C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9</xdr:col>
      <xdr:colOff>159657</xdr:colOff>
      <xdr:row>12</xdr:row>
      <xdr:rowOff>42635</xdr:rowOff>
    </xdr:from>
    <xdr:to>
      <xdr:col>11</xdr:col>
      <xdr:colOff>323850</xdr:colOff>
      <xdr:row>12</xdr:row>
      <xdr:rowOff>44450</xdr:rowOff>
    </xdr:to>
    <xdr:cxnSp macro="">
      <xdr:nvCxnSpPr>
        <xdr:cNvPr id="29" name="cb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CxnSpPr/>
      </xdr:nvCxnSpPr>
      <xdr:spPr>
        <a:xfrm>
          <a:off x="8014607" y="2557235"/>
          <a:ext cx="1688193" cy="1815"/>
        </a:xfrm>
        <a:prstGeom prst="straightConnector1">
          <a:avLst/>
        </a:prstGeom>
        <a:noFill/>
        <a:ln w="57150" cap="flat" cmpd="sng" algn="ctr">
          <a:solidFill>
            <a:srgbClr val="FF0000"/>
          </a:solidFill>
          <a:prstDash val="solid"/>
          <a:miter lim="800000"/>
          <a:headEnd type="triangle" w="med" len="med"/>
          <a:tailEnd type="none" w="med" len="med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210457</xdr:colOff>
      <xdr:row>12</xdr:row>
      <xdr:rowOff>36285</xdr:rowOff>
    </xdr:from>
    <xdr:to>
      <xdr:col>11</xdr:col>
      <xdr:colOff>374650</xdr:colOff>
      <xdr:row>12</xdr:row>
      <xdr:rowOff>38100</xdr:rowOff>
    </xdr:to>
    <xdr:cxnSp macro="">
      <xdr:nvCxnSpPr>
        <xdr:cNvPr id="31" name="bc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CxnSpPr/>
      </xdr:nvCxnSpPr>
      <xdr:spPr>
        <a:xfrm>
          <a:off x="8065407" y="2550885"/>
          <a:ext cx="1688193" cy="1815"/>
        </a:xfrm>
        <a:prstGeom prst="straightConnector1">
          <a:avLst/>
        </a:prstGeom>
        <a:noFill/>
        <a:ln w="57150" cap="flat" cmpd="sng" algn="ctr">
          <a:solidFill>
            <a:srgbClr val="FF0000"/>
          </a:solidFill>
          <a:prstDash val="solid"/>
          <a:miter lim="800000"/>
          <a:headEnd type="none" w="med" len="med"/>
          <a:tailEnd type="triangle" w="med" len="med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120650</xdr:colOff>
      <xdr:row>12</xdr:row>
      <xdr:rowOff>158750</xdr:rowOff>
    </xdr:from>
    <xdr:to>
      <xdr:col>13</xdr:col>
      <xdr:colOff>114300</xdr:colOff>
      <xdr:row>15</xdr:row>
      <xdr:rowOff>95250</xdr:rowOff>
    </xdr:to>
    <xdr:cxnSp macro="">
      <xdr:nvCxnSpPr>
        <xdr:cNvPr id="32" name="cd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CxnSpPr/>
      </xdr:nvCxnSpPr>
      <xdr:spPr>
        <a:xfrm>
          <a:off x="10109200" y="2673350"/>
          <a:ext cx="603250" cy="565150"/>
        </a:xfrm>
        <a:prstGeom prst="straightConnector1">
          <a:avLst/>
        </a:prstGeom>
        <a:noFill/>
        <a:ln w="57150" cap="flat" cmpd="sng" algn="ctr">
          <a:solidFill>
            <a:srgbClr val="FF0000"/>
          </a:solidFill>
          <a:prstDash val="solid"/>
          <a:miter lim="800000"/>
          <a:headEnd type="none" w="med" len="med"/>
          <a:tailEnd type="triangle" w="med" len="med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101600</xdr:colOff>
      <xdr:row>12</xdr:row>
      <xdr:rowOff>146050</xdr:rowOff>
    </xdr:from>
    <xdr:to>
      <xdr:col>13</xdr:col>
      <xdr:colOff>95250</xdr:colOff>
      <xdr:row>15</xdr:row>
      <xdr:rowOff>82550</xdr:rowOff>
    </xdr:to>
    <xdr:cxnSp macro="">
      <xdr:nvCxnSpPr>
        <xdr:cNvPr id="36" name="dc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CxnSpPr/>
      </xdr:nvCxnSpPr>
      <xdr:spPr>
        <a:xfrm>
          <a:off x="10090150" y="2660650"/>
          <a:ext cx="603250" cy="565150"/>
        </a:xfrm>
        <a:prstGeom prst="straightConnector1">
          <a:avLst/>
        </a:prstGeom>
        <a:noFill/>
        <a:ln w="57150" cap="flat" cmpd="sng" algn="ctr">
          <a:solidFill>
            <a:srgbClr val="FF0000"/>
          </a:solidFill>
          <a:prstDash val="solid"/>
          <a:miter lim="800000"/>
          <a:headEnd type="triangle" w="med" len="med"/>
          <a:tailEnd type="none" w="med" len="med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698500</xdr:colOff>
      <xdr:row>16</xdr:row>
      <xdr:rowOff>50800</xdr:rowOff>
    </xdr:from>
    <xdr:to>
      <xdr:col>13</xdr:col>
      <xdr:colOff>25400</xdr:colOff>
      <xdr:row>16</xdr:row>
      <xdr:rowOff>57150</xdr:rowOff>
    </xdr:to>
    <xdr:cxnSp macro="">
      <xdr:nvCxnSpPr>
        <xdr:cNvPr id="37" name="df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CxnSpPr/>
      </xdr:nvCxnSpPr>
      <xdr:spPr>
        <a:xfrm flipV="1">
          <a:off x="9220200" y="3403600"/>
          <a:ext cx="1403350" cy="6350"/>
        </a:xfrm>
        <a:prstGeom prst="straightConnector1">
          <a:avLst/>
        </a:prstGeom>
        <a:noFill/>
        <a:ln w="57150" cap="flat" cmpd="sng" algn="ctr">
          <a:solidFill>
            <a:srgbClr val="FF0000"/>
          </a:solidFill>
          <a:prstDash val="solid"/>
          <a:miter lim="800000"/>
          <a:headEnd type="triangle" w="med" len="med"/>
          <a:tailEnd type="none" w="med" len="med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717550</xdr:colOff>
      <xdr:row>16</xdr:row>
      <xdr:rowOff>50800</xdr:rowOff>
    </xdr:from>
    <xdr:to>
      <xdr:col>13</xdr:col>
      <xdr:colOff>44450</xdr:colOff>
      <xdr:row>16</xdr:row>
      <xdr:rowOff>57150</xdr:rowOff>
    </xdr:to>
    <xdr:cxnSp macro="">
      <xdr:nvCxnSpPr>
        <xdr:cNvPr id="40" name="fd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CxnSpPr/>
      </xdr:nvCxnSpPr>
      <xdr:spPr>
        <a:xfrm flipV="1">
          <a:off x="9239250" y="3403600"/>
          <a:ext cx="1403350" cy="6350"/>
        </a:xfrm>
        <a:prstGeom prst="straightConnector1">
          <a:avLst/>
        </a:prstGeom>
        <a:noFill/>
        <a:ln w="57150" cap="flat" cmpd="sng" algn="ctr">
          <a:solidFill>
            <a:srgbClr val="FF0000"/>
          </a:solidFill>
          <a:prstDash val="solid"/>
          <a:miter lim="800000"/>
          <a:headEnd type="none" w="med" len="med"/>
          <a:tailEnd type="triangle" w="med" len="med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698500</xdr:colOff>
      <xdr:row>16</xdr:row>
      <xdr:rowOff>165100</xdr:rowOff>
    </xdr:from>
    <xdr:to>
      <xdr:col>13</xdr:col>
      <xdr:colOff>63500</xdr:colOff>
      <xdr:row>21</xdr:row>
      <xdr:rowOff>107950</xdr:rowOff>
    </xdr:to>
    <xdr:cxnSp macro="">
      <xdr:nvCxnSpPr>
        <xdr:cNvPr id="41" name="ed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CxnSpPr/>
      </xdr:nvCxnSpPr>
      <xdr:spPr>
        <a:xfrm flipV="1">
          <a:off x="9220200" y="3517900"/>
          <a:ext cx="1441450" cy="990600"/>
        </a:xfrm>
        <a:prstGeom prst="straightConnector1">
          <a:avLst/>
        </a:prstGeom>
        <a:noFill/>
        <a:ln w="57150" cap="flat" cmpd="sng" algn="ctr">
          <a:solidFill>
            <a:srgbClr val="FF0000"/>
          </a:solidFill>
          <a:prstDash val="solid"/>
          <a:miter lim="800000"/>
          <a:headEnd type="none" w="med" len="med"/>
          <a:tailEnd type="triangle" w="med" len="med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673100</xdr:colOff>
      <xdr:row>16</xdr:row>
      <xdr:rowOff>184150</xdr:rowOff>
    </xdr:from>
    <xdr:to>
      <xdr:col>13</xdr:col>
      <xdr:colOff>38100</xdr:colOff>
      <xdr:row>21</xdr:row>
      <xdr:rowOff>127000</xdr:rowOff>
    </xdr:to>
    <xdr:cxnSp macro="">
      <xdr:nvCxnSpPr>
        <xdr:cNvPr id="43" name="de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CxnSpPr/>
      </xdr:nvCxnSpPr>
      <xdr:spPr>
        <a:xfrm flipV="1">
          <a:off x="9194800" y="3536950"/>
          <a:ext cx="1441450" cy="990600"/>
        </a:xfrm>
        <a:prstGeom prst="straightConnector1">
          <a:avLst/>
        </a:prstGeom>
        <a:noFill/>
        <a:ln w="57150" cap="flat" cmpd="sng" algn="ctr">
          <a:solidFill>
            <a:srgbClr val="FF0000"/>
          </a:solidFill>
          <a:prstDash val="solid"/>
          <a:miter lim="800000"/>
          <a:headEnd type="triangle" w="med" len="med"/>
          <a:tailEnd type="none" w="med" len="med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673100</xdr:colOff>
      <xdr:row>13</xdr:row>
      <xdr:rowOff>31750</xdr:rowOff>
    </xdr:from>
    <xdr:to>
      <xdr:col>11</xdr:col>
      <xdr:colOff>419100</xdr:colOff>
      <xdr:row>15</xdr:row>
      <xdr:rowOff>152400</xdr:rowOff>
    </xdr:to>
    <xdr:cxnSp macro="">
      <xdr:nvCxnSpPr>
        <xdr:cNvPr id="44" name="fc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CxnSpPr/>
      </xdr:nvCxnSpPr>
      <xdr:spPr>
        <a:xfrm flipV="1">
          <a:off x="9194800" y="2755900"/>
          <a:ext cx="603250" cy="539750"/>
        </a:xfrm>
        <a:prstGeom prst="straightConnector1">
          <a:avLst/>
        </a:prstGeom>
        <a:noFill/>
        <a:ln w="57150" cap="flat" cmpd="sng" algn="ctr">
          <a:solidFill>
            <a:srgbClr val="FF0000"/>
          </a:solidFill>
          <a:prstDash val="solid"/>
          <a:miter lim="800000"/>
          <a:headEnd type="none" w="med" len="med"/>
          <a:tailEnd type="triangle" w="med" len="med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646793</xdr:colOff>
      <xdr:row>13</xdr:row>
      <xdr:rowOff>58965</xdr:rowOff>
    </xdr:from>
    <xdr:to>
      <xdr:col>11</xdr:col>
      <xdr:colOff>392793</xdr:colOff>
      <xdr:row>15</xdr:row>
      <xdr:rowOff>179615</xdr:rowOff>
    </xdr:to>
    <xdr:cxnSp macro="">
      <xdr:nvCxnSpPr>
        <xdr:cNvPr id="47" name="cf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CxnSpPr/>
      </xdr:nvCxnSpPr>
      <xdr:spPr>
        <a:xfrm flipV="1">
          <a:off x="9168493" y="2783115"/>
          <a:ext cx="603250" cy="539750"/>
        </a:xfrm>
        <a:prstGeom prst="straightConnector1">
          <a:avLst/>
        </a:prstGeom>
        <a:noFill/>
        <a:ln w="57150" cap="flat" cmpd="sng" algn="ctr">
          <a:solidFill>
            <a:srgbClr val="FF0000"/>
          </a:solidFill>
          <a:prstDash val="solid"/>
          <a:miter lim="800000"/>
          <a:headEnd type="triangle" w="med" len="med"/>
          <a:tailEnd type="none" w="med" len="med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107950</xdr:colOff>
      <xdr:row>13</xdr:row>
      <xdr:rowOff>0</xdr:rowOff>
    </xdr:from>
    <xdr:to>
      <xdr:col>10</xdr:col>
      <xdr:colOff>330201</xdr:colOff>
      <xdr:row>15</xdr:row>
      <xdr:rowOff>165101</xdr:rowOff>
    </xdr:to>
    <xdr:cxnSp macro="">
      <xdr:nvCxnSpPr>
        <xdr:cNvPr id="48" name="bf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CxnSpPr/>
      </xdr:nvCxnSpPr>
      <xdr:spPr>
        <a:xfrm flipH="1" flipV="1">
          <a:off x="7962900" y="2724150"/>
          <a:ext cx="889001" cy="584201"/>
        </a:xfrm>
        <a:prstGeom prst="straightConnector1">
          <a:avLst/>
        </a:prstGeom>
        <a:noFill/>
        <a:ln w="57150" cap="flat" cmpd="sng" algn="ctr">
          <a:solidFill>
            <a:srgbClr val="FF0000"/>
          </a:solidFill>
          <a:prstDash val="solid"/>
          <a:miter lim="800000"/>
          <a:headEnd type="triangle" w="med" len="med"/>
          <a:tailEnd type="none" w="med" len="med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89807</xdr:colOff>
      <xdr:row>12</xdr:row>
      <xdr:rowOff>195035</xdr:rowOff>
    </xdr:from>
    <xdr:to>
      <xdr:col>10</xdr:col>
      <xdr:colOff>312058</xdr:colOff>
      <xdr:row>15</xdr:row>
      <xdr:rowOff>150586</xdr:rowOff>
    </xdr:to>
    <xdr:cxnSp macro="">
      <xdr:nvCxnSpPr>
        <xdr:cNvPr id="51" name="fb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CxnSpPr/>
      </xdr:nvCxnSpPr>
      <xdr:spPr>
        <a:xfrm flipH="1" flipV="1">
          <a:off x="7944757" y="2709635"/>
          <a:ext cx="889001" cy="584201"/>
        </a:xfrm>
        <a:prstGeom prst="straightConnector1">
          <a:avLst/>
        </a:prstGeom>
        <a:noFill/>
        <a:ln w="57150" cap="flat" cmpd="sng" algn="ctr">
          <a:solidFill>
            <a:srgbClr val="FF0000"/>
          </a:solidFill>
          <a:prstDash val="solid"/>
          <a:miter lim="800000"/>
          <a:headEnd type="none" w="med" len="med"/>
          <a:tailEnd type="triangle" w="med" len="med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501650</xdr:colOff>
      <xdr:row>16</xdr:row>
      <xdr:rowOff>38100</xdr:rowOff>
    </xdr:from>
    <xdr:to>
      <xdr:col>10</xdr:col>
      <xdr:colOff>273050</xdr:colOff>
      <xdr:row>16</xdr:row>
      <xdr:rowOff>57150</xdr:rowOff>
    </xdr:to>
    <xdr:cxnSp macro="">
      <xdr:nvCxnSpPr>
        <xdr:cNvPr id="52" name="fa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CxnSpPr/>
      </xdr:nvCxnSpPr>
      <xdr:spPr>
        <a:xfrm flipH="1">
          <a:off x="7181850" y="3390900"/>
          <a:ext cx="1612900" cy="19050"/>
        </a:xfrm>
        <a:prstGeom prst="straightConnector1">
          <a:avLst/>
        </a:prstGeom>
        <a:noFill/>
        <a:ln w="57150" cap="flat" cmpd="sng" algn="ctr">
          <a:solidFill>
            <a:srgbClr val="FF0000"/>
          </a:solidFill>
          <a:prstDash val="solid"/>
          <a:miter lim="800000"/>
          <a:headEnd type="none" w="med" len="med"/>
          <a:tailEnd type="triangle" w="med" len="med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513443</xdr:colOff>
      <xdr:row>16</xdr:row>
      <xdr:rowOff>39915</xdr:rowOff>
    </xdr:from>
    <xdr:to>
      <xdr:col>10</xdr:col>
      <xdr:colOff>284843</xdr:colOff>
      <xdr:row>16</xdr:row>
      <xdr:rowOff>58965</xdr:rowOff>
    </xdr:to>
    <xdr:cxnSp macro="">
      <xdr:nvCxnSpPr>
        <xdr:cNvPr id="55" name="af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CxnSpPr/>
      </xdr:nvCxnSpPr>
      <xdr:spPr>
        <a:xfrm flipH="1">
          <a:off x="7193643" y="3392715"/>
          <a:ext cx="1612900" cy="19050"/>
        </a:xfrm>
        <a:prstGeom prst="straightConnector1">
          <a:avLst/>
        </a:prstGeom>
        <a:noFill/>
        <a:ln w="57150" cap="flat" cmpd="sng" algn="ctr">
          <a:solidFill>
            <a:srgbClr val="FF0000"/>
          </a:solidFill>
          <a:prstDash val="solid"/>
          <a:miter lim="800000"/>
          <a:headEnd type="triangle" w="med" len="med"/>
          <a:tailEnd type="none" w="med" len="med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419101</xdr:colOff>
      <xdr:row>17</xdr:row>
      <xdr:rowOff>6350</xdr:rowOff>
    </xdr:from>
    <xdr:to>
      <xdr:col>10</xdr:col>
      <xdr:colOff>304800</xdr:colOff>
      <xdr:row>21</xdr:row>
      <xdr:rowOff>139700</xdr:rowOff>
    </xdr:to>
    <xdr:cxnSp macro="">
      <xdr:nvCxnSpPr>
        <xdr:cNvPr id="56" name="ae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CxnSpPr/>
      </xdr:nvCxnSpPr>
      <xdr:spPr>
        <a:xfrm flipH="1" flipV="1">
          <a:off x="7099301" y="3568700"/>
          <a:ext cx="1727199" cy="971550"/>
        </a:xfrm>
        <a:prstGeom prst="straightConnector1">
          <a:avLst/>
        </a:prstGeom>
        <a:noFill/>
        <a:ln w="57150" cap="flat" cmpd="sng" algn="ctr">
          <a:solidFill>
            <a:srgbClr val="FF0000"/>
          </a:solidFill>
          <a:prstDash val="solid"/>
          <a:miter lim="800000"/>
          <a:headEnd type="triangle" w="med" len="med"/>
          <a:tailEnd type="none" w="med" len="med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394609</xdr:colOff>
      <xdr:row>16</xdr:row>
      <xdr:rowOff>195035</xdr:rowOff>
    </xdr:from>
    <xdr:to>
      <xdr:col>10</xdr:col>
      <xdr:colOff>280308</xdr:colOff>
      <xdr:row>21</xdr:row>
      <xdr:rowOff>118835</xdr:rowOff>
    </xdr:to>
    <xdr:cxnSp macro="">
      <xdr:nvCxnSpPr>
        <xdr:cNvPr id="59" name="ea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CxnSpPr/>
      </xdr:nvCxnSpPr>
      <xdr:spPr>
        <a:xfrm flipH="1" flipV="1">
          <a:off x="7074809" y="3547835"/>
          <a:ext cx="1727199" cy="971550"/>
        </a:xfrm>
        <a:prstGeom prst="straightConnector1">
          <a:avLst/>
        </a:prstGeom>
        <a:noFill/>
        <a:ln w="57150" cap="flat" cmpd="sng" algn="ctr">
          <a:solidFill>
            <a:srgbClr val="FF0000"/>
          </a:solidFill>
          <a:prstDash val="solid"/>
          <a:miter lim="800000"/>
          <a:headEnd type="none" w="med" len="med"/>
          <a:tailEnd type="triangle" w="med" len="med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400050</xdr:colOff>
      <xdr:row>12</xdr:row>
      <xdr:rowOff>196850</xdr:rowOff>
    </xdr:from>
    <xdr:to>
      <xdr:col>8</xdr:col>
      <xdr:colOff>368301</xdr:colOff>
      <xdr:row>15</xdr:row>
      <xdr:rowOff>88900</xdr:rowOff>
    </xdr:to>
    <xdr:cxnSp macro="">
      <xdr:nvCxnSpPr>
        <xdr:cNvPr id="60" name="ab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CxnSpPr/>
      </xdr:nvCxnSpPr>
      <xdr:spPr>
        <a:xfrm flipH="1">
          <a:off x="7080250" y="2711450"/>
          <a:ext cx="577851" cy="520700"/>
        </a:xfrm>
        <a:prstGeom prst="straightConnector1">
          <a:avLst/>
        </a:prstGeom>
        <a:noFill/>
        <a:ln w="57150" cap="flat" cmpd="sng" algn="ctr">
          <a:solidFill>
            <a:srgbClr val="FF0000"/>
          </a:solidFill>
          <a:prstDash val="solid"/>
          <a:miter lim="800000"/>
          <a:headEnd type="triangle" w="med" len="med"/>
          <a:tailEnd type="none" w="med" len="med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388257</xdr:colOff>
      <xdr:row>13</xdr:row>
      <xdr:rowOff>1995</xdr:rowOff>
    </xdr:from>
    <xdr:to>
      <xdr:col>8</xdr:col>
      <xdr:colOff>356508</xdr:colOff>
      <xdr:row>15</xdr:row>
      <xdr:rowOff>99785</xdr:rowOff>
    </xdr:to>
    <xdr:cxnSp macro="">
      <xdr:nvCxnSpPr>
        <xdr:cNvPr id="63" name="ba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CxnSpPr/>
      </xdr:nvCxnSpPr>
      <xdr:spPr>
        <a:xfrm flipH="1">
          <a:off x="7068457" y="2722335"/>
          <a:ext cx="577851" cy="520700"/>
        </a:xfrm>
        <a:prstGeom prst="straightConnector1">
          <a:avLst/>
        </a:prstGeom>
        <a:noFill/>
        <a:ln w="57150" cap="flat" cmpd="sng" algn="ctr">
          <a:solidFill>
            <a:srgbClr val="FF0000"/>
          </a:solidFill>
          <a:prstDash val="solid"/>
          <a:miter lim="800000"/>
          <a:headEnd type="none" w="med" len="med"/>
          <a:tailEnd type="triangle" w="med" len="med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482600</xdr:colOff>
      <xdr:row>17</xdr:row>
      <xdr:rowOff>76200</xdr:rowOff>
    </xdr:from>
    <xdr:to>
      <xdr:col>10</xdr:col>
      <xdr:colOff>495301</xdr:colOff>
      <xdr:row>20</xdr:row>
      <xdr:rowOff>107950</xdr:rowOff>
    </xdr:to>
    <xdr:cxnSp macro="">
      <xdr:nvCxnSpPr>
        <xdr:cNvPr id="64" name="fe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CxnSpPr/>
      </xdr:nvCxnSpPr>
      <xdr:spPr>
        <a:xfrm>
          <a:off x="9004300" y="3638550"/>
          <a:ext cx="12701" cy="660400"/>
        </a:xfrm>
        <a:prstGeom prst="straightConnector1">
          <a:avLst/>
        </a:prstGeom>
        <a:noFill/>
        <a:ln w="57150" cap="flat" cmpd="sng" algn="ctr">
          <a:solidFill>
            <a:srgbClr val="FF0000"/>
          </a:solidFill>
          <a:prstDash val="solid"/>
          <a:miter lim="800000"/>
          <a:headEnd type="none" w="med" len="med"/>
          <a:tailEnd type="triangle" w="med" len="med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488043</xdr:colOff>
      <xdr:row>17</xdr:row>
      <xdr:rowOff>39915</xdr:rowOff>
    </xdr:from>
    <xdr:to>
      <xdr:col>10</xdr:col>
      <xdr:colOff>500744</xdr:colOff>
      <xdr:row>20</xdr:row>
      <xdr:rowOff>71665</xdr:rowOff>
    </xdr:to>
    <xdr:cxnSp macro="">
      <xdr:nvCxnSpPr>
        <xdr:cNvPr id="67" name="ef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CxnSpPr/>
      </xdr:nvCxnSpPr>
      <xdr:spPr>
        <a:xfrm>
          <a:off x="9009743" y="3602265"/>
          <a:ext cx="12701" cy="660400"/>
        </a:xfrm>
        <a:prstGeom prst="straightConnector1">
          <a:avLst/>
        </a:prstGeom>
        <a:noFill/>
        <a:ln w="57150" cap="flat" cmpd="sng" algn="ctr">
          <a:solidFill>
            <a:srgbClr val="FF0000"/>
          </a:solidFill>
          <a:prstDash val="solid"/>
          <a:miter lim="800000"/>
          <a:headEnd type="triangle" w="med" len="med"/>
          <a:tailEnd type="none" w="med" len="med"/>
        </a:ln>
        <a:effectLst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121920</xdr:colOff>
          <xdr:row>5</xdr:row>
          <xdr:rowOff>0</xdr:rowOff>
        </xdr:from>
        <xdr:to>
          <xdr:col>13</xdr:col>
          <xdr:colOff>571500</xdr:colOff>
          <xdr:row>6</xdr:row>
          <xdr:rowOff>76200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Traçar Rota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137160</xdr:colOff>
          <xdr:row>2</xdr:row>
          <xdr:rowOff>0</xdr:rowOff>
        </xdr:from>
        <xdr:to>
          <xdr:col>13</xdr:col>
          <xdr:colOff>571500</xdr:colOff>
          <xdr:row>3</xdr:row>
          <xdr:rowOff>83820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Distâncias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152400</xdr:colOff>
          <xdr:row>8</xdr:row>
          <xdr:rowOff>0</xdr:rowOff>
        </xdr:from>
        <xdr:to>
          <xdr:col>13</xdr:col>
          <xdr:colOff>579120</xdr:colOff>
          <xdr:row>9</xdr:row>
          <xdr:rowOff>83820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U77"/>
  <sheetViews>
    <sheetView tabSelected="1" zoomScaleNormal="100" workbookViewId="0">
      <selection activeCell="D2" sqref="D2:E21"/>
    </sheetView>
  </sheetViews>
  <sheetFormatPr defaultColWidth="0" defaultRowHeight="14.4" zeroHeight="1" x14ac:dyDescent="0.3"/>
  <cols>
    <col min="1" max="3" width="9.109375" style="4" customWidth="1"/>
    <col min="4" max="4" width="19.109375" style="4" bestFit="1" customWidth="1"/>
    <col min="5" max="5" width="19.6640625" style="4" bestFit="1" customWidth="1"/>
    <col min="6" max="6" width="24.6640625" style="5" bestFit="1" customWidth="1"/>
    <col min="7" max="7" width="9.109375" style="3" customWidth="1"/>
    <col min="8" max="8" width="9.109375" style="4" customWidth="1"/>
    <col min="9" max="9" width="8.44140625" style="3" bestFit="1" customWidth="1"/>
    <col min="10" max="10" width="10" style="3" bestFit="1" customWidth="1"/>
    <col min="11" max="11" width="12.88671875" style="5" bestFit="1" customWidth="1"/>
    <col min="12" max="14" width="9.109375" style="3" customWidth="1"/>
    <col min="15" max="21" width="4.44140625" style="5" hidden="1" customWidth="1"/>
    <col min="22" max="16384" width="9.109375" style="3" hidden="1"/>
  </cols>
  <sheetData>
    <row r="1" spans="1:21" ht="15.6" thickTop="1" thickBot="1" x14ac:dyDescent="0.35">
      <c r="A1" s="10" t="s">
        <v>0</v>
      </c>
      <c r="B1" s="10" t="s">
        <v>1</v>
      </c>
      <c r="C1" s="10" t="s">
        <v>2</v>
      </c>
      <c r="D1" s="2" t="s">
        <v>6</v>
      </c>
      <c r="E1" s="1" t="s">
        <v>7</v>
      </c>
      <c r="F1" s="12" t="s">
        <v>10</v>
      </c>
      <c r="H1" s="9" t="s">
        <v>3</v>
      </c>
      <c r="I1" s="13" t="s">
        <v>4</v>
      </c>
      <c r="J1" s="13" t="s">
        <v>5</v>
      </c>
      <c r="K1" s="14" t="s">
        <v>8</v>
      </c>
      <c r="O1" s="6">
        <v>1</v>
      </c>
      <c r="P1" s="6" t="s">
        <v>11</v>
      </c>
      <c r="Q1" s="6" t="s">
        <v>12</v>
      </c>
      <c r="R1" s="6" t="s">
        <v>13</v>
      </c>
      <c r="S1" s="6" t="s">
        <v>14</v>
      </c>
      <c r="T1" s="6" t="s">
        <v>15</v>
      </c>
      <c r="U1" s="6" t="s">
        <v>16</v>
      </c>
    </row>
    <row r="2" spans="1:21" ht="15.6" thickTop="1" thickBot="1" x14ac:dyDescent="0.35">
      <c r="A2" s="11" t="s">
        <v>11</v>
      </c>
      <c r="B2" s="11" t="s">
        <v>12</v>
      </c>
      <c r="C2" s="11">
        <f>INDEX($P$2:$U$7,MATCH(A2,$O$2:$O$7,0),MATCH(B2,$P$1:$U$1,0))</f>
        <v>0</v>
      </c>
      <c r="D2" s="2"/>
      <c r="E2" s="1"/>
      <c r="F2" s="12">
        <f>COUNTA($H$2:$H$7)*D2</f>
        <v>0</v>
      </c>
      <c r="H2" s="9" t="s">
        <v>11</v>
      </c>
      <c r="I2" s="13">
        <f>SUMIF($B$2:$B$21,H2,$D$2:$D$21)</f>
        <v>0</v>
      </c>
      <c r="J2" s="13">
        <f>SUMIF($A$2:$A$21,H2,$D$2:$D$21)</f>
        <v>0</v>
      </c>
      <c r="K2" s="14">
        <f>SUMIF($B$2:$B$21,H2,$E$2:$E$21)-SUMIF($A$2:$A$21,H2,$E$2:$E$21)</f>
        <v>0</v>
      </c>
      <c r="O2" s="6" t="s">
        <v>11</v>
      </c>
      <c r="P2" s="6"/>
      <c r="Q2" s="6"/>
      <c r="R2" s="6"/>
      <c r="S2" s="6"/>
      <c r="T2" s="6"/>
      <c r="U2" s="6"/>
    </row>
    <row r="3" spans="1:21" ht="15.6" thickTop="1" thickBot="1" x14ac:dyDescent="0.35">
      <c r="A3" s="11" t="s">
        <v>11</v>
      </c>
      <c r="B3" s="11" t="s">
        <v>16</v>
      </c>
      <c r="C3" s="11">
        <f t="shared" ref="C3:C21" si="0">INDEX($P$2:$U$7,MATCH(A3,$O$2:$O$7,0),MATCH(B3,$P$1:$U$1,0))</f>
        <v>0</v>
      </c>
      <c r="D3" s="2"/>
      <c r="E3" s="1"/>
      <c r="F3" s="12">
        <f>COUNTA($H$2:$H$7)*D3</f>
        <v>0</v>
      </c>
      <c r="H3" s="9" t="s">
        <v>12</v>
      </c>
      <c r="I3" s="13">
        <f t="shared" ref="I3:I7" si="1">SUMIF($B$2:$B$21,H3,$D$2:$D$21)</f>
        <v>0</v>
      </c>
      <c r="J3" s="13">
        <f t="shared" ref="J3:J7" si="2">SUMIF($A$2:$A$21,H3,$D$2:$D$21)</f>
        <v>0</v>
      </c>
      <c r="K3" s="14">
        <f t="shared" ref="K3:K7" si="3">SUMIF($B$2:$B$21,H3,$E$2:$E$21)-SUMIF($A$2:$A$21,H3,$E$2:$E$21)</f>
        <v>0</v>
      </c>
      <c r="O3" s="6" t="s">
        <v>12</v>
      </c>
      <c r="P3" s="6"/>
      <c r="Q3" s="6"/>
      <c r="R3" s="6"/>
      <c r="S3" s="6"/>
      <c r="T3" s="6"/>
      <c r="U3" s="6"/>
    </row>
    <row r="4" spans="1:21" ht="15.6" thickTop="1" thickBot="1" x14ac:dyDescent="0.35">
      <c r="A4" s="11" t="s">
        <v>11</v>
      </c>
      <c r="B4" s="11" t="s">
        <v>15</v>
      </c>
      <c r="C4" s="11">
        <f t="shared" si="0"/>
        <v>0</v>
      </c>
      <c r="D4" s="2"/>
      <c r="E4" s="1"/>
      <c r="F4" s="12">
        <f t="shared" ref="F4:F21" si="4">COUNTA($H$2:$H$7)*D4</f>
        <v>0</v>
      </c>
      <c r="H4" s="9" t="s">
        <v>13</v>
      </c>
      <c r="I4" s="13">
        <f t="shared" si="1"/>
        <v>0</v>
      </c>
      <c r="J4" s="13">
        <f t="shared" si="2"/>
        <v>0</v>
      </c>
      <c r="K4" s="14">
        <f t="shared" si="3"/>
        <v>0</v>
      </c>
      <c r="O4" s="6" t="s">
        <v>13</v>
      </c>
      <c r="P4" s="6"/>
      <c r="Q4" s="6"/>
      <c r="R4" s="6"/>
      <c r="S4" s="6"/>
      <c r="T4" s="6"/>
      <c r="U4" s="6"/>
    </row>
    <row r="5" spans="1:21" ht="15.6" thickTop="1" thickBot="1" x14ac:dyDescent="0.35">
      <c r="A5" s="11" t="s">
        <v>12</v>
      </c>
      <c r="B5" s="11" t="s">
        <v>11</v>
      </c>
      <c r="C5" s="11">
        <f t="shared" si="0"/>
        <v>0</v>
      </c>
      <c r="D5" s="2"/>
      <c r="E5" s="1"/>
      <c r="F5" s="12">
        <f t="shared" si="4"/>
        <v>0</v>
      </c>
      <c r="H5" s="9" t="s">
        <v>14</v>
      </c>
      <c r="I5" s="13">
        <f t="shared" si="1"/>
        <v>0</v>
      </c>
      <c r="J5" s="13">
        <f t="shared" si="2"/>
        <v>0</v>
      </c>
      <c r="K5" s="14">
        <f t="shared" si="3"/>
        <v>0</v>
      </c>
      <c r="O5" s="6" t="s">
        <v>14</v>
      </c>
      <c r="P5" s="6"/>
      <c r="Q5" s="6"/>
      <c r="R5" s="6"/>
      <c r="S5" s="6"/>
      <c r="T5" s="6"/>
      <c r="U5" s="6"/>
    </row>
    <row r="6" spans="1:21" ht="15.6" thickTop="1" thickBot="1" x14ac:dyDescent="0.35">
      <c r="A6" s="11" t="s">
        <v>12</v>
      </c>
      <c r="B6" s="11" t="s">
        <v>16</v>
      </c>
      <c r="C6" s="11">
        <f t="shared" si="0"/>
        <v>0</v>
      </c>
      <c r="D6" s="2"/>
      <c r="E6" s="1"/>
      <c r="F6" s="12">
        <f t="shared" si="4"/>
        <v>0</v>
      </c>
      <c r="H6" s="9" t="s">
        <v>15</v>
      </c>
      <c r="I6" s="13">
        <f t="shared" si="1"/>
        <v>0</v>
      </c>
      <c r="J6" s="13">
        <f t="shared" si="2"/>
        <v>0</v>
      </c>
      <c r="K6" s="14">
        <f t="shared" si="3"/>
        <v>0</v>
      </c>
      <c r="L6" s="7"/>
      <c r="O6" s="6" t="s">
        <v>15</v>
      </c>
      <c r="P6" s="6"/>
      <c r="Q6" s="6"/>
      <c r="R6" s="6"/>
      <c r="S6" s="6"/>
      <c r="T6" s="6"/>
      <c r="U6" s="6"/>
    </row>
    <row r="7" spans="1:21" ht="15.6" thickTop="1" thickBot="1" x14ac:dyDescent="0.35">
      <c r="A7" s="11" t="s">
        <v>12</v>
      </c>
      <c r="B7" s="11" t="s">
        <v>13</v>
      </c>
      <c r="C7" s="11">
        <f t="shared" si="0"/>
        <v>0</v>
      </c>
      <c r="D7" s="2"/>
      <c r="E7" s="1"/>
      <c r="F7" s="12">
        <f t="shared" si="4"/>
        <v>0</v>
      </c>
      <c r="H7" s="9" t="s">
        <v>16</v>
      </c>
      <c r="I7" s="13">
        <f t="shared" si="1"/>
        <v>0</v>
      </c>
      <c r="J7" s="13">
        <f t="shared" si="2"/>
        <v>0</v>
      </c>
      <c r="K7" s="14">
        <f t="shared" si="3"/>
        <v>0</v>
      </c>
      <c r="L7" s="7"/>
      <c r="O7" s="6" t="s">
        <v>16</v>
      </c>
      <c r="P7" s="6"/>
      <c r="Q7" s="6"/>
      <c r="R7" s="6"/>
      <c r="S7" s="6"/>
      <c r="T7" s="6"/>
      <c r="U7" s="6"/>
    </row>
    <row r="8" spans="1:21" ht="15.6" thickTop="1" thickBot="1" x14ac:dyDescent="0.35">
      <c r="A8" s="11" t="s">
        <v>13</v>
      </c>
      <c r="B8" s="11" t="s">
        <v>12</v>
      </c>
      <c r="C8" s="11">
        <f t="shared" si="0"/>
        <v>0</v>
      </c>
      <c r="D8" s="2"/>
      <c r="E8" s="1"/>
      <c r="F8" s="12">
        <f t="shared" si="4"/>
        <v>0</v>
      </c>
      <c r="I8" s="4"/>
      <c r="J8" s="4"/>
      <c r="L8" s="7"/>
    </row>
    <row r="9" spans="1:21" ht="15.6" thickTop="1" thickBot="1" x14ac:dyDescent="0.35">
      <c r="A9" s="11" t="s">
        <v>13</v>
      </c>
      <c r="B9" s="11" t="s">
        <v>16</v>
      </c>
      <c r="C9" s="11">
        <f t="shared" si="0"/>
        <v>0</v>
      </c>
      <c r="D9" s="2"/>
      <c r="E9" s="1"/>
      <c r="F9" s="12">
        <f t="shared" si="4"/>
        <v>0</v>
      </c>
      <c r="H9" s="4" t="s">
        <v>9</v>
      </c>
      <c r="I9" s="4"/>
      <c r="J9" s="4"/>
      <c r="L9" s="7"/>
    </row>
    <row r="10" spans="1:21" ht="15.6" thickTop="1" thickBot="1" x14ac:dyDescent="0.35">
      <c r="A10" s="11" t="s">
        <v>13</v>
      </c>
      <c r="B10" s="11" t="s">
        <v>14</v>
      </c>
      <c r="C10" s="11">
        <f t="shared" si="0"/>
        <v>0</v>
      </c>
      <c r="D10" s="2"/>
      <c r="E10" s="1"/>
      <c r="F10" s="12">
        <f t="shared" si="4"/>
        <v>0</v>
      </c>
      <c r="H10" s="8">
        <f>SUMPRODUCT(C2:C21,D2:D21)</f>
        <v>0</v>
      </c>
      <c r="I10" s="4"/>
      <c r="J10" s="4"/>
      <c r="L10" s="7"/>
    </row>
    <row r="11" spans="1:21" ht="15.6" thickTop="1" thickBot="1" x14ac:dyDescent="0.35">
      <c r="A11" s="11" t="s">
        <v>14</v>
      </c>
      <c r="B11" s="11" t="s">
        <v>13</v>
      </c>
      <c r="C11" s="11">
        <f t="shared" si="0"/>
        <v>0</v>
      </c>
      <c r="D11" s="2"/>
      <c r="E11" s="1"/>
      <c r="F11" s="12">
        <f t="shared" si="4"/>
        <v>0</v>
      </c>
      <c r="I11" s="4"/>
      <c r="J11" s="4"/>
      <c r="L11" s="7"/>
    </row>
    <row r="12" spans="1:21" ht="15.6" thickTop="1" thickBot="1" x14ac:dyDescent="0.35">
      <c r="A12" s="11" t="s">
        <v>14</v>
      </c>
      <c r="B12" s="11" t="s">
        <v>16</v>
      </c>
      <c r="C12" s="11">
        <f t="shared" si="0"/>
        <v>0</v>
      </c>
      <c r="D12" s="2"/>
      <c r="E12" s="1"/>
      <c r="F12" s="12">
        <f t="shared" si="4"/>
        <v>0</v>
      </c>
      <c r="I12" s="4"/>
      <c r="J12" s="4"/>
      <c r="L12" s="7"/>
    </row>
    <row r="13" spans="1:21" ht="15.6" thickTop="1" thickBot="1" x14ac:dyDescent="0.35">
      <c r="A13" s="11" t="s">
        <v>14</v>
      </c>
      <c r="B13" s="11" t="s">
        <v>15</v>
      </c>
      <c r="C13" s="11">
        <f t="shared" si="0"/>
        <v>0</v>
      </c>
      <c r="D13" s="2"/>
      <c r="E13" s="1"/>
      <c r="F13" s="12">
        <f t="shared" si="4"/>
        <v>0</v>
      </c>
      <c r="I13" s="4"/>
      <c r="J13" s="4"/>
      <c r="L13" s="7"/>
    </row>
    <row r="14" spans="1:21" ht="15.6" thickTop="1" thickBot="1" x14ac:dyDescent="0.35">
      <c r="A14" s="11" t="s">
        <v>15</v>
      </c>
      <c r="B14" s="11" t="s">
        <v>11</v>
      </c>
      <c r="C14" s="11">
        <f t="shared" si="0"/>
        <v>0</v>
      </c>
      <c r="D14" s="2"/>
      <c r="E14" s="1"/>
      <c r="F14" s="12">
        <f t="shared" si="4"/>
        <v>0</v>
      </c>
      <c r="I14" s="4"/>
      <c r="J14" s="4"/>
      <c r="L14" s="7"/>
    </row>
    <row r="15" spans="1:21" ht="15.6" thickTop="1" thickBot="1" x14ac:dyDescent="0.35">
      <c r="A15" s="11" t="s">
        <v>15</v>
      </c>
      <c r="B15" s="11" t="s">
        <v>16</v>
      </c>
      <c r="C15" s="11">
        <f t="shared" si="0"/>
        <v>0</v>
      </c>
      <c r="D15" s="2"/>
      <c r="E15" s="1"/>
      <c r="F15" s="12">
        <f t="shared" si="4"/>
        <v>0</v>
      </c>
      <c r="I15" s="4"/>
      <c r="J15" s="4"/>
      <c r="L15" s="7"/>
    </row>
    <row r="16" spans="1:21" ht="15.6" thickTop="1" thickBot="1" x14ac:dyDescent="0.35">
      <c r="A16" s="11" t="s">
        <v>15</v>
      </c>
      <c r="B16" s="11" t="s">
        <v>14</v>
      </c>
      <c r="C16" s="11">
        <f t="shared" si="0"/>
        <v>0</v>
      </c>
      <c r="D16" s="2"/>
      <c r="E16" s="1"/>
      <c r="F16" s="12">
        <f t="shared" si="4"/>
        <v>0</v>
      </c>
      <c r="I16" s="4"/>
      <c r="J16" s="4"/>
      <c r="L16" s="7"/>
    </row>
    <row r="17" spans="1:12" ht="15.6" thickTop="1" thickBot="1" x14ac:dyDescent="0.35">
      <c r="A17" s="11" t="s">
        <v>16</v>
      </c>
      <c r="B17" s="11" t="s">
        <v>11</v>
      </c>
      <c r="C17" s="11">
        <f t="shared" si="0"/>
        <v>0</v>
      </c>
      <c r="D17" s="2"/>
      <c r="E17" s="1"/>
      <c r="F17" s="12">
        <f t="shared" si="4"/>
        <v>0</v>
      </c>
      <c r="I17" s="4"/>
      <c r="J17" s="4"/>
      <c r="L17" s="7"/>
    </row>
    <row r="18" spans="1:12" ht="15.6" thickTop="1" thickBot="1" x14ac:dyDescent="0.35">
      <c r="A18" s="11" t="s">
        <v>16</v>
      </c>
      <c r="B18" s="11" t="s">
        <v>12</v>
      </c>
      <c r="C18" s="11">
        <f t="shared" si="0"/>
        <v>0</v>
      </c>
      <c r="D18" s="2"/>
      <c r="E18" s="1"/>
      <c r="F18" s="12">
        <f t="shared" si="4"/>
        <v>0</v>
      </c>
      <c r="I18" s="4"/>
      <c r="J18" s="4"/>
      <c r="L18" s="7"/>
    </row>
    <row r="19" spans="1:12" ht="15.6" thickTop="1" thickBot="1" x14ac:dyDescent="0.35">
      <c r="A19" s="11" t="s">
        <v>16</v>
      </c>
      <c r="B19" s="11" t="s">
        <v>13</v>
      </c>
      <c r="C19" s="11">
        <f t="shared" si="0"/>
        <v>0</v>
      </c>
      <c r="D19" s="2"/>
      <c r="E19" s="1"/>
      <c r="F19" s="12">
        <f t="shared" si="4"/>
        <v>0</v>
      </c>
      <c r="I19" s="4"/>
      <c r="J19" s="4"/>
    </row>
    <row r="20" spans="1:12" ht="15.6" thickTop="1" thickBot="1" x14ac:dyDescent="0.35">
      <c r="A20" s="11" t="s">
        <v>16</v>
      </c>
      <c r="B20" s="11" t="s">
        <v>14</v>
      </c>
      <c r="C20" s="11">
        <f t="shared" si="0"/>
        <v>0</v>
      </c>
      <c r="D20" s="2"/>
      <c r="E20" s="1"/>
      <c r="F20" s="12">
        <f t="shared" si="4"/>
        <v>0</v>
      </c>
    </row>
    <row r="21" spans="1:12" ht="15.6" thickTop="1" thickBot="1" x14ac:dyDescent="0.35">
      <c r="A21" s="11" t="s">
        <v>16</v>
      </c>
      <c r="B21" s="11" t="s">
        <v>15</v>
      </c>
      <c r="C21" s="11">
        <f t="shared" si="0"/>
        <v>0</v>
      </c>
      <c r="D21" s="2"/>
      <c r="E21" s="1"/>
      <c r="F21" s="12">
        <f t="shared" si="4"/>
        <v>0</v>
      </c>
    </row>
    <row r="22" spans="1:12" ht="15" thickTop="1" x14ac:dyDescent="0.3"/>
    <row r="23" spans="1:12" x14ac:dyDescent="0.3"/>
    <row r="24" spans="1:12" x14ac:dyDescent="0.3"/>
    <row r="25" spans="1:12" x14ac:dyDescent="0.3"/>
    <row r="26" spans="1:12" hidden="1" x14ac:dyDescent="0.3"/>
    <row r="27" spans="1:12" hidden="1" x14ac:dyDescent="0.3"/>
    <row r="28" spans="1:12" hidden="1" x14ac:dyDescent="0.3"/>
    <row r="29" spans="1:12" hidden="1" x14ac:dyDescent="0.3"/>
    <row r="30" spans="1:12" hidden="1" x14ac:dyDescent="0.3"/>
    <row r="31" spans="1:12" hidden="1" x14ac:dyDescent="0.3"/>
    <row r="32" spans="1:12" hidden="1" x14ac:dyDescent="0.3"/>
    <row r="33" hidden="1" x14ac:dyDescent="0.3"/>
    <row r="34" hidden="1" x14ac:dyDescent="0.3"/>
    <row r="35" hidden="1" x14ac:dyDescent="0.3"/>
    <row r="36" hidden="1" x14ac:dyDescent="0.3"/>
    <row r="37" hidden="1" x14ac:dyDescent="0.3"/>
    <row r="38" hidden="1" x14ac:dyDescent="0.3"/>
    <row r="39" hidden="1" x14ac:dyDescent="0.3"/>
    <row r="40" hidden="1" x14ac:dyDescent="0.3"/>
    <row r="41" hidden="1" x14ac:dyDescent="0.3"/>
    <row r="42" hidden="1" x14ac:dyDescent="0.3"/>
    <row r="43" hidden="1" x14ac:dyDescent="0.3"/>
    <row r="44" hidden="1" x14ac:dyDescent="0.3"/>
    <row r="45" hidden="1" x14ac:dyDescent="0.3"/>
    <row r="46" hidden="1" x14ac:dyDescent="0.3"/>
    <row r="47" hidden="1" x14ac:dyDescent="0.3"/>
    <row r="48" hidden="1" x14ac:dyDescent="0.3"/>
    <row r="49" hidden="1" x14ac:dyDescent="0.3"/>
    <row r="50" hidden="1" x14ac:dyDescent="0.3"/>
    <row r="51" hidden="1" x14ac:dyDescent="0.3"/>
    <row r="52" hidden="1" x14ac:dyDescent="0.3"/>
    <row r="53" hidden="1" x14ac:dyDescent="0.3"/>
    <row r="54" hidden="1" x14ac:dyDescent="0.3"/>
    <row r="55" hidden="1" x14ac:dyDescent="0.3"/>
    <row r="56" hidden="1" x14ac:dyDescent="0.3"/>
    <row r="57" hidden="1" x14ac:dyDescent="0.3"/>
    <row r="58" hidden="1" x14ac:dyDescent="0.3"/>
    <row r="59" hidden="1" x14ac:dyDescent="0.3"/>
    <row r="60" hidden="1" x14ac:dyDescent="0.3"/>
    <row r="61" hidden="1" x14ac:dyDescent="0.3"/>
    <row r="62" hidden="1" x14ac:dyDescent="0.3"/>
    <row r="63" hidden="1" x14ac:dyDescent="0.3"/>
    <row r="64" hidden="1" x14ac:dyDescent="0.3"/>
    <row r="65" spans="11:11" hidden="1" x14ac:dyDescent="0.3"/>
    <row r="66" spans="11:11" hidden="1" x14ac:dyDescent="0.3"/>
    <row r="67" spans="11:11" hidden="1" x14ac:dyDescent="0.3"/>
    <row r="68" spans="11:11" hidden="1" x14ac:dyDescent="0.3"/>
    <row r="69" spans="11:11" hidden="1" x14ac:dyDescent="0.3"/>
    <row r="70" spans="11:11" hidden="1" x14ac:dyDescent="0.3"/>
    <row r="71" spans="11:11" hidden="1" x14ac:dyDescent="0.3"/>
    <row r="72" spans="11:11" hidden="1" x14ac:dyDescent="0.3"/>
    <row r="73" spans="11:11" hidden="1" x14ac:dyDescent="0.3"/>
    <row r="74" spans="11:11" hidden="1" x14ac:dyDescent="0.3"/>
    <row r="75" spans="11:11" hidden="1" x14ac:dyDescent="0.3"/>
    <row r="76" spans="11:11" hidden="1" x14ac:dyDescent="0.3"/>
    <row r="77" spans="11:11" hidden="1" x14ac:dyDescent="0.3">
      <c r="K77" s="3"/>
    </row>
  </sheetData>
  <autoFilter ref="A1:F21" xr:uid="{00000000-0009-0000-0000-000000000000}"/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Rota">
                <anchor>
                  <from>
                    <xdr:col>12</xdr:col>
                    <xdr:colOff>121920</xdr:colOff>
                    <xdr:row>5</xdr:row>
                    <xdr:rowOff>0</xdr:rowOff>
                  </from>
                  <to>
                    <xdr:col>13</xdr:col>
                    <xdr:colOff>571500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Gerar_Dist">
                <anchor>
                  <from>
                    <xdr:col>12</xdr:col>
                    <xdr:colOff>137160</xdr:colOff>
                    <xdr:row>1</xdr:row>
                    <xdr:rowOff>198120</xdr:rowOff>
                  </from>
                  <to>
                    <xdr:col>13</xdr:col>
                    <xdr:colOff>571500</xdr:colOff>
                    <xdr:row>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Limpar">
                <anchor>
                  <from>
                    <xdr:col>12</xdr:col>
                    <xdr:colOff>152400</xdr:colOff>
                    <xdr:row>7</xdr:row>
                    <xdr:rowOff>198120</xdr:rowOff>
                  </from>
                  <to>
                    <xdr:col>13</xdr:col>
                    <xdr:colOff>579120</xdr:colOff>
                    <xdr:row>9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Caixeiro Viajante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</dc:creator>
  <cp:lastModifiedBy>Lopes, Mateus</cp:lastModifiedBy>
  <dcterms:created xsi:type="dcterms:W3CDTF">2018-08-19T20:02:40Z</dcterms:created>
  <dcterms:modified xsi:type="dcterms:W3CDTF">2020-08-20T18:57:46Z</dcterms:modified>
</cp:coreProperties>
</file>
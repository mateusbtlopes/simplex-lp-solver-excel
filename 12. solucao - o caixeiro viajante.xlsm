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ateus.lopes\Documents\mateusbtlopes\simplex-lp-solver-excel\"/>
    </mc:Choice>
  </mc:AlternateContent>
  <xr:revisionPtr revIDLastSave="0" documentId="13_ncr:1_{C4AA278F-77BF-436D-ADB9-5B8559220BFB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aixeiro Viajante" sheetId="2" r:id="rId1"/>
  </sheets>
  <definedNames>
    <definedName name="_xlnm._FilterDatabase" localSheetId="0" hidden="1">'Caixeiro Viajante'!$A$1:$F$21</definedName>
    <definedName name="solver_adj" localSheetId="0" hidden="1">'Caixeiro Viajante'!$D$2:$E$21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'Caixeiro Viajante'!$D$2:$D$21</definedName>
    <definedName name="solver_lhs2" localSheetId="0" hidden="1">'Caixeiro Viajante'!$E$2:$E$21</definedName>
    <definedName name="solver_lhs3" localSheetId="0" hidden="1">'Caixeiro Viajante'!$E$2:$E$21</definedName>
    <definedName name="solver_lhs4" localSheetId="0" hidden="1">'Caixeiro Viajante'!$I$2:$J$7</definedName>
    <definedName name="solver_lhs5" localSheetId="0" hidden="1">'Caixeiro Viajante'!$K$3:$K$7</definedName>
    <definedName name="solver_lhs6" localSheetId="0" hidden="1">'Caixeiro Viajante'!#REF!</definedName>
    <definedName name="solver_lhs7" localSheetId="0" hidden="1">'Caixeiro Viajante'!#REF!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'Caixeiro Viajante'!$I$11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2" localSheetId="0" hidden="1">1</definedName>
    <definedName name="solver_rel3" localSheetId="0" hidden="1">4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hs1" localSheetId="0" hidden="1">binary</definedName>
    <definedName name="solver_rhs2" localSheetId="0" hidden="1">'Caixeiro Viajante'!$F$2:$F$21</definedName>
    <definedName name="solver_rhs3" localSheetId="0" hidden="1">integer</definedName>
    <definedName name="solver_rhs4" localSheetId="0" hidden="1">1</definedName>
    <definedName name="solver_rhs5" localSheetId="0" hidden="1">1</definedName>
    <definedName name="solver_rhs6" localSheetId="0" hidden="1">'Caixeiro Viajante'!#REF!</definedName>
    <definedName name="solver_rhs7" localSheetId="0" hidden="1">'Caixeiro Viajante'!#REF!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1" i="2" l="1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K3" i="2"/>
  <c r="K7" i="2"/>
  <c r="K6" i="2"/>
  <c r="K5" i="2"/>
  <c r="K4" i="2"/>
  <c r="K2" i="2"/>
  <c r="I11" i="2"/>
  <c r="J3" i="2"/>
  <c r="J4" i="2"/>
  <c r="J5" i="2"/>
  <c r="J6" i="2"/>
  <c r="J7" i="2"/>
  <c r="J2" i="2"/>
  <c r="I3" i="2"/>
  <c r="I4" i="2"/>
  <c r="I5" i="2"/>
  <c r="I6" i="2"/>
  <c r="I7" i="2"/>
  <c r="I2" i="2"/>
</calcChain>
</file>

<file path=xl/sharedStrings.xml><?xml version="1.0" encoding="utf-8"?>
<sst xmlns="http://schemas.openxmlformats.org/spreadsheetml/2006/main" count="69" uniqueCount="17">
  <si>
    <t>De</t>
  </si>
  <si>
    <t>Para</t>
  </si>
  <si>
    <t>Dist</t>
  </si>
  <si>
    <t>Arco Utilizado?</t>
  </si>
  <si>
    <t>a</t>
  </si>
  <si>
    <t>b</t>
  </si>
  <si>
    <t>c</t>
  </si>
  <si>
    <t>d</t>
  </si>
  <si>
    <t>e</t>
  </si>
  <si>
    <t>f</t>
  </si>
  <si>
    <t>Qtd Arcos Restantes</t>
  </si>
  <si>
    <t>Max. Arcos Restantes</t>
  </si>
  <si>
    <t>Nó</t>
  </si>
  <si>
    <t>check-in</t>
  </si>
  <si>
    <t>check-out</t>
  </si>
  <si>
    <t>Arcos a Viajar</t>
  </si>
  <si>
    <t>Distância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</si>
</sst>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4" borderId="3" xfId="0" applyFill="1" applyBorder="1"/>
    <xf numFmtId="0" fontId="0" fillId="5" borderId="2" xfId="0" applyFill="1" applyBorder="1"/>
    <xf numFmtId="0" fontId="1" fillId="7" borderId="1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B5F2B-6FFF-46A2-99A9-606E807D65D5}">
  <sheetPr codeName="Planilha2"/>
  <dimension ref="A1:U107"/>
  <sheetViews>
    <sheetView tabSelected="1" zoomScale="115" zoomScaleNormal="115" workbookViewId="0">
      <selection activeCell="H7" sqref="H7"/>
    </sheetView>
  </sheetViews>
  <sheetFormatPr defaultColWidth="0" defaultRowHeight="0" customHeight="1" zeroHeight="1" x14ac:dyDescent="0.3"/>
  <cols>
    <col min="1" max="3" width="9.109375" style="2" customWidth="1"/>
    <col min="4" max="4" width="19.109375" bestFit="1" customWidth="1"/>
    <col min="5" max="5" width="19.6640625" bestFit="1" customWidth="1"/>
    <col min="6" max="6" width="24.6640625" bestFit="1" customWidth="1"/>
    <col min="7" max="8" width="9.109375" customWidth="1"/>
    <col min="9" max="9" width="8.44140625" bestFit="1" customWidth="1"/>
    <col min="10" max="10" width="10" bestFit="1" customWidth="1"/>
    <col min="11" max="11" width="12.88671875" bestFit="1" customWidth="1"/>
    <col min="12" max="14" width="9.109375" customWidth="1"/>
    <col min="15" max="21" width="4.44140625" style="3" hidden="1" customWidth="1"/>
    <col min="22" max="16384" width="9.109375" style="1" hidden="1"/>
  </cols>
  <sheetData>
    <row r="1" spans="1:21" ht="15" thickBot="1" x14ac:dyDescent="0.35">
      <c r="A1" s="12" t="s">
        <v>0</v>
      </c>
      <c r="B1" s="12" t="s">
        <v>1</v>
      </c>
      <c r="C1" s="12" t="s">
        <v>2</v>
      </c>
      <c r="D1" s="13" t="s">
        <v>3</v>
      </c>
      <c r="E1" s="13" t="s">
        <v>10</v>
      </c>
      <c r="F1" s="14" t="s">
        <v>11</v>
      </c>
      <c r="H1" s="8" t="s">
        <v>12</v>
      </c>
      <c r="I1" s="7" t="s">
        <v>13</v>
      </c>
      <c r="J1" s="7" t="s">
        <v>14</v>
      </c>
      <c r="K1" s="7" t="s">
        <v>15</v>
      </c>
      <c r="O1" s="4">
        <v>1</v>
      </c>
      <c r="P1" s="4" t="s">
        <v>4</v>
      </c>
      <c r="Q1" s="4" t="s">
        <v>5</v>
      </c>
      <c r="R1" s="4" t="s">
        <v>6</v>
      </c>
      <c r="S1" s="4" t="s">
        <v>7</v>
      </c>
      <c r="T1" s="4" t="s">
        <v>8</v>
      </c>
      <c r="U1" s="4" t="s">
        <v>9</v>
      </c>
    </row>
    <row r="2" spans="1:21" ht="14.4" x14ac:dyDescent="0.3">
      <c r="A2" s="16" t="s">
        <v>4</v>
      </c>
      <c r="B2" s="17" t="s">
        <v>5</v>
      </c>
      <c r="C2" s="17">
        <v>9</v>
      </c>
      <c r="D2" s="18">
        <v>0</v>
      </c>
      <c r="E2" s="18">
        <v>0</v>
      </c>
      <c r="F2" s="19">
        <f>COUNTA($H$2:$H$7)*D2</f>
        <v>0</v>
      </c>
      <c r="H2" s="9" t="s">
        <v>4</v>
      </c>
      <c r="I2" s="6">
        <f>SUMIF($B$2:$B$21,H2,$D$2:$D$21)</f>
        <v>1</v>
      </c>
      <c r="J2" s="6">
        <f>SUMIF($A$2:$A$21,H2,$D$2:$D$21)</f>
        <v>1</v>
      </c>
      <c r="K2" s="6">
        <f>SUMIF($B$2:$B$21,H2,$E$2:$E$21)-SUMIF($A$2:$A$21,H2,$E$2:$E$21)</f>
        <v>-5</v>
      </c>
      <c r="O2" s="4" t="s">
        <v>4</v>
      </c>
      <c r="P2" s="4"/>
      <c r="Q2" s="4"/>
      <c r="R2" s="4"/>
      <c r="S2" s="4"/>
      <c r="T2" s="4"/>
      <c r="U2" s="4"/>
    </row>
    <row r="3" spans="1:21" ht="14.4" x14ac:dyDescent="0.3">
      <c r="A3" s="20" t="s">
        <v>4</v>
      </c>
      <c r="B3" s="5" t="s">
        <v>9</v>
      </c>
      <c r="C3" s="5">
        <v>2</v>
      </c>
      <c r="D3" s="10">
        <v>0</v>
      </c>
      <c r="E3" s="10">
        <v>0</v>
      </c>
      <c r="F3" s="21">
        <f t="shared" ref="F3:F21" si="0">COUNTA($H$2:$H$7)*D3</f>
        <v>0</v>
      </c>
      <c r="H3" s="9" t="s">
        <v>5</v>
      </c>
      <c r="I3" s="6">
        <f t="shared" ref="I3:I7" si="1">SUMIF($B$2:$B$21,H3,$D$2:$D$21)</f>
        <v>1</v>
      </c>
      <c r="J3" s="6">
        <f t="shared" ref="J3:J7" si="2">SUMIF($A$2:$A$21,H3,$D$2:$D$21)</f>
        <v>1</v>
      </c>
      <c r="K3" s="6">
        <f>SUMIF($B$2:$B$21,H3,$E$2:$E$21)-SUMIF($A$2:$A$21,H3,$E$2:$E$21)</f>
        <v>1</v>
      </c>
      <c r="O3" s="4" t="s">
        <v>5</v>
      </c>
      <c r="P3" s="4"/>
      <c r="Q3" s="4"/>
      <c r="R3" s="4"/>
      <c r="S3" s="4"/>
      <c r="T3" s="4"/>
      <c r="U3" s="4"/>
    </row>
    <row r="4" spans="1:21" ht="15" thickBot="1" x14ac:dyDescent="0.35">
      <c r="A4" s="22" t="s">
        <v>4</v>
      </c>
      <c r="B4" s="23" t="s">
        <v>8</v>
      </c>
      <c r="C4" s="23">
        <v>5</v>
      </c>
      <c r="D4" s="24">
        <v>1</v>
      </c>
      <c r="E4" s="24">
        <v>5</v>
      </c>
      <c r="F4" s="25">
        <f>COUNTA($H$2:$H$7)*D4</f>
        <v>6</v>
      </c>
      <c r="H4" s="9" t="s">
        <v>6</v>
      </c>
      <c r="I4" s="6">
        <f t="shared" si="1"/>
        <v>1</v>
      </c>
      <c r="J4" s="6">
        <f t="shared" si="2"/>
        <v>1</v>
      </c>
      <c r="K4" s="6">
        <f t="shared" ref="K3:K7" si="3">SUMIF($B$2:$B$21,H4,$E$2:$E$21)-SUMIF($A$2:$A$21,H4,$E$2:$E$21)</f>
        <v>1</v>
      </c>
      <c r="O4" s="4" t="s">
        <v>6</v>
      </c>
      <c r="P4" s="4"/>
      <c r="Q4" s="4"/>
      <c r="R4" s="4"/>
      <c r="S4" s="4"/>
      <c r="T4" s="4"/>
      <c r="U4" s="4"/>
    </row>
    <row r="5" spans="1:21" ht="14.4" x14ac:dyDescent="0.3">
      <c r="A5" s="16" t="s">
        <v>5</v>
      </c>
      <c r="B5" s="17" t="s">
        <v>4</v>
      </c>
      <c r="C5" s="17">
        <v>9</v>
      </c>
      <c r="D5" s="18">
        <v>0</v>
      </c>
      <c r="E5" s="18">
        <v>0</v>
      </c>
      <c r="F5" s="19">
        <f>COUNTA($H$2:$H$7)*D5</f>
        <v>0</v>
      </c>
      <c r="H5" s="9" t="s">
        <v>7</v>
      </c>
      <c r="I5" s="6">
        <f t="shared" si="1"/>
        <v>1</v>
      </c>
      <c r="J5" s="6">
        <f t="shared" si="2"/>
        <v>1</v>
      </c>
      <c r="K5" s="6">
        <f t="shared" si="3"/>
        <v>1</v>
      </c>
      <c r="O5" s="4" t="s">
        <v>7</v>
      </c>
      <c r="P5" s="4"/>
      <c r="Q5" s="4"/>
      <c r="R5" s="4"/>
      <c r="S5" s="4"/>
      <c r="T5" s="4"/>
      <c r="U5" s="4"/>
    </row>
    <row r="6" spans="1:21" ht="14.4" x14ac:dyDescent="0.3">
      <c r="A6" s="20" t="s">
        <v>5</v>
      </c>
      <c r="B6" s="5" t="s">
        <v>9</v>
      </c>
      <c r="C6" s="5">
        <v>8</v>
      </c>
      <c r="D6" s="10">
        <v>1</v>
      </c>
      <c r="E6" s="10">
        <v>1</v>
      </c>
      <c r="F6" s="21">
        <f>COUNTA($H$2:$H$7)*D6</f>
        <v>6</v>
      </c>
      <c r="H6" s="9" t="s">
        <v>8</v>
      </c>
      <c r="I6" s="6">
        <f t="shared" si="1"/>
        <v>1</v>
      </c>
      <c r="J6" s="6">
        <f t="shared" si="2"/>
        <v>1</v>
      </c>
      <c r="K6" s="6">
        <f t="shared" si="3"/>
        <v>1</v>
      </c>
      <c r="O6" s="4" t="s">
        <v>8</v>
      </c>
      <c r="P6" s="4"/>
      <c r="Q6" s="4"/>
      <c r="R6" s="4"/>
      <c r="S6" s="4"/>
      <c r="T6" s="4"/>
      <c r="U6" s="4"/>
    </row>
    <row r="7" spans="1:21" ht="15" thickBot="1" x14ac:dyDescent="0.35">
      <c r="A7" s="22" t="s">
        <v>5</v>
      </c>
      <c r="B7" s="23" t="s">
        <v>6</v>
      </c>
      <c r="C7" s="23">
        <v>8</v>
      </c>
      <c r="D7" s="24">
        <v>0</v>
      </c>
      <c r="E7" s="24">
        <v>0</v>
      </c>
      <c r="F7" s="25">
        <f>COUNTA($H$2:$H$7)*D7</f>
        <v>0</v>
      </c>
      <c r="H7" s="9" t="s">
        <v>9</v>
      </c>
      <c r="I7" s="6">
        <f t="shared" si="1"/>
        <v>1</v>
      </c>
      <c r="J7" s="6">
        <f t="shared" si="2"/>
        <v>1</v>
      </c>
      <c r="K7" s="6">
        <f t="shared" si="3"/>
        <v>1</v>
      </c>
      <c r="O7" s="4" t="s">
        <v>9</v>
      </c>
      <c r="P7" s="4"/>
      <c r="Q7" s="4"/>
      <c r="R7" s="4"/>
      <c r="S7" s="4"/>
      <c r="T7" s="4"/>
      <c r="U7" s="4"/>
    </row>
    <row r="8" spans="1:21" ht="14.4" x14ac:dyDescent="0.3">
      <c r="A8" s="16" t="s">
        <v>6</v>
      </c>
      <c r="B8" s="17" t="s">
        <v>5</v>
      </c>
      <c r="C8" s="17">
        <v>8</v>
      </c>
      <c r="D8" s="18">
        <v>1</v>
      </c>
      <c r="E8" s="18">
        <v>2</v>
      </c>
      <c r="F8" s="19">
        <f>COUNTA($H$2:$H$7)*D8</f>
        <v>6</v>
      </c>
    </row>
    <row r="9" spans="1:21" ht="14.4" x14ac:dyDescent="0.3">
      <c r="A9" s="20" t="s">
        <v>6</v>
      </c>
      <c r="B9" s="5" t="s">
        <v>9</v>
      </c>
      <c r="C9" s="5">
        <v>7</v>
      </c>
      <c r="D9" s="10">
        <v>0</v>
      </c>
      <c r="E9" s="10">
        <v>0</v>
      </c>
      <c r="F9" s="21">
        <f>COUNTA($H$2:$H$7)*D9</f>
        <v>0</v>
      </c>
    </row>
    <row r="10" spans="1:21" ht="15" thickBot="1" x14ac:dyDescent="0.35">
      <c r="A10" s="22" t="s">
        <v>6</v>
      </c>
      <c r="B10" s="23" t="s">
        <v>7</v>
      </c>
      <c r="C10" s="23">
        <v>1</v>
      </c>
      <c r="D10" s="24">
        <v>0</v>
      </c>
      <c r="E10" s="24">
        <v>0</v>
      </c>
      <c r="F10" s="25">
        <f>COUNTA($H$2:$H$7)*D10</f>
        <v>0</v>
      </c>
      <c r="I10" s="11" t="s">
        <v>16</v>
      </c>
    </row>
    <row r="11" spans="1:21" ht="14.4" x14ac:dyDescent="0.3">
      <c r="A11" s="16" t="s">
        <v>7</v>
      </c>
      <c r="B11" s="17" t="s">
        <v>6</v>
      </c>
      <c r="C11" s="17">
        <v>1</v>
      </c>
      <c r="D11" s="18">
        <v>1</v>
      </c>
      <c r="E11" s="18">
        <v>3</v>
      </c>
      <c r="F11" s="19">
        <f>COUNTA($H$2:$H$7)*D11</f>
        <v>6</v>
      </c>
      <c r="I11" s="15">
        <f>SUMPRODUCT(C2:C21,D2:D21)</f>
        <v>33</v>
      </c>
    </row>
    <row r="12" spans="1:21" ht="14.4" x14ac:dyDescent="0.3">
      <c r="A12" s="20" t="s">
        <v>7</v>
      </c>
      <c r="B12" s="5" t="s">
        <v>9</v>
      </c>
      <c r="C12" s="5">
        <v>3</v>
      </c>
      <c r="D12" s="10">
        <v>0</v>
      </c>
      <c r="E12" s="10">
        <v>0</v>
      </c>
      <c r="F12" s="21">
        <f>COUNTA($H$2:$H$7)*D12</f>
        <v>0</v>
      </c>
    </row>
    <row r="13" spans="1:21" ht="15" thickBot="1" x14ac:dyDescent="0.35">
      <c r="A13" s="22" t="s">
        <v>7</v>
      </c>
      <c r="B13" s="23" t="s">
        <v>8</v>
      </c>
      <c r="C13" s="23">
        <v>9</v>
      </c>
      <c r="D13" s="24">
        <v>0</v>
      </c>
      <c r="E13" s="24">
        <v>0</v>
      </c>
      <c r="F13" s="25">
        <f>COUNTA($H$2:$H$7)*D13</f>
        <v>0</v>
      </c>
    </row>
    <row r="14" spans="1:21" ht="14.4" x14ac:dyDescent="0.3">
      <c r="A14" s="16" t="s">
        <v>8</v>
      </c>
      <c r="B14" s="17" t="s">
        <v>4</v>
      </c>
      <c r="C14" s="17">
        <v>5</v>
      </c>
      <c r="D14" s="18">
        <v>0</v>
      </c>
      <c r="E14" s="18">
        <v>0</v>
      </c>
      <c r="F14" s="19">
        <f>COUNTA($H$2:$H$7)*D14</f>
        <v>0</v>
      </c>
    </row>
    <row r="15" spans="1:21" ht="14.4" x14ac:dyDescent="0.3">
      <c r="A15" s="20" t="s">
        <v>8</v>
      </c>
      <c r="B15" s="5" t="s">
        <v>9</v>
      </c>
      <c r="C15" s="5">
        <v>7</v>
      </c>
      <c r="D15" s="10">
        <v>0</v>
      </c>
      <c r="E15" s="10">
        <v>0</v>
      </c>
      <c r="F15" s="21">
        <f>COUNTA($H$2:$H$7)*D15</f>
        <v>0</v>
      </c>
    </row>
    <row r="16" spans="1:21" ht="15" thickBot="1" x14ac:dyDescent="0.35">
      <c r="A16" s="22" t="s">
        <v>8</v>
      </c>
      <c r="B16" s="23" t="s">
        <v>7</v>
      </c>
      <c r="C16" s="23">
        <v>9</v>
      </c>
      <c r="D16" s="24">
        <v>1</v>
      </c>
      <c r="E16" s="24">
        <v>4</v>
      </c>
      <c r="F16" s="25">
        <f>COUNTA($H$2:$H$7)*D16</f>
        <v>6</v>
      </c>
    </row>
    <row r="17" spans="1:14" s="1" customFormat="1" ht="14.4" x14ac:dyDescent="0.3">
      <c r="A17" s="16" t="s">
        <v>9</v>
      </c>
      <c r="B17" s="17" t="s">
        <v>4</v>
      </c>
      <c r="C17" s="17">
        <v>2</v>
      </c>
      <c r="D17" s="18">
        <v>1</v>
      </c>
      <c r="E17" s="18">
        <v>0</v>
      </c>
      <c r="F17" s="19">
        <f t="shared" si="0"/>
        <v>6</v>
      </c>
      <c r="G17"/>
      <c r="H17"/>
      <c r="I17"/>
      <c r="J17"/>
      <c r="K17"/>
      <c r="L17"/>
      <c r="M17"/>
      <c r="N17"/>
    </row>
    <row r="18" spans="1:14" s="1" customFormat="1" ht="14.4" x14ac:dyDescent="0.3">
      <c r="A18" s="20" t="s">
        <v>9</v>
      </c>
      <c r="B18" s="5" t="s">
        <v>5</v>
      </c>
      <c r="C18" s="5">
        <v>8</v>
      </c>
      <c r="D18" s="10">
        <v>0</v>
      </c>
      <c r="E18" s="10">
        <v>0</v>
      </c>
      <c r="F18" s="21">
        <f t="shared" si="0"/>
        <v>0</v>
      </c>
      <c r="G18"/>
      <c r="H18"/>
      <c r="I18"/>
      <c r="J18"/>
      <c r="K18"/>
      <c r="L18"/>
      <c r="M18"/>
      <c r="N18"/>
    </row>
    <row r="19" spans="1:14" s="1" customFormat="1" ht="14.4" x14ac:dyDescent="0.3">
      <c r="A19" s="20" t="s">
        <v>9</v>
      </c>
      <c r="B19" s="5" t="s">
        <v>6</v>
      </c>
      <c r="C19" s="5">
        <v>7</v>
      </c>
      <c r="D19" s="10">
        <v>0</v>
      </c>
      <c r="E19" s="10">
        <v>0</v>
      </c>
      <c r="F19" s="21">
        <f t="shared" si="0"/>
        <v>0</v>
      </c>
      <c r="G19"/>
      <c r="H19"/>
      <c r="I19"/>
      <c r="J19"/>
      <c r="K19"/>
      <c r="L19"/>
      <c r="M19"/>
      <c r="N19"/>
    </row>
    <row r="20" spans="1:14" s="1" customFormat="1" ht="14.4" x14ac:dyDescent="0.3">
      <c r="A20" s="20" t="s">
        <v>9</v>
      </c>
      <c r="B20" s="5" t="s">
        <v>7</v>
      </c>
      <c r="C20" s="5">
        <v>3</v>
      </c>
      <c r="D20" s="10">
        <v>0</v>
      </c>
      <c r="E20" s="10">
        <v>0</v>
      </c>
      <c r="F20" s="21">
        <f t="shared" si="0"/>
        <v>0</v>
      </c>
      <c r="G20"/>
      <c r="H20"/>
      <c r="I20"/>
      <c r="J20"/>
      <c r="K20"/>
      <c r="L20"/>
      <c r="M20"/>
      <c r="N20"/>
    </row>
    <row r="21" spans="1:14" s="1" customFormat="1" ht="15" thickBot="1" x14ac:dyDescent="0.35">
      <c r="A21" s="22" t="s">
        <v>9</v>
      </c>
      <c r="B21" s="23" t="s">
        <v>8</v>
      </c>
      <c r="C21" s="23">
        <v>7</v>
      </c>
      <c r="D21" s="24">
        <v>0</v>
      </c>
      <c r="E21" s="24">
        <v>0</v>
      </c>
      <c r="F21" s="25">
        <f t="shared" si="0"/>
        <v>0</v>
      </c>
      <c r="G21"/>
      <c r="H21"/>
      <c r="I21"/>
      <c r="J21"/>
      <c r="K21"/>
      <c r="L21"/>
      <c r="M21"/>
      <c r="N21"/>
    </row>
    <row r="22" spans="1:14" s="1" customFormat="1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4" s="1" customFormat="1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4" s="1" customFormat="1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4" s="1" customFormat="1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4" s="1" customFormat="1" ht="14.4" hidden="1" x14ac:dyDescent="0.3">
      <c r="A26" s="2"/>
      <c r="B26" s="2"/>
      <c r="C26" s="2"/>
      <c r="D26"/>
      <c r="E26"/>
      <c r="F26"/>
    </row>
    <row r="27" spans="1:14" s="1" customFormat="1" ht="14.4" hidden="1" x14ac:dyDescent="0.3">
      <c r="A27" s="2"/>
      <c r="B27" s="2"/>
      <c r="C27" s="2"/>
      <c r="D27"/>
      <c r="E27"/>
      <c r="F27"/>
    </row>
    <row r="28" spans="1:14" s="1" customFormat="1" ht="14.4" hidden="1" x14ac:dyDescent="0.3">
      <c r="A28" s="2"/>
      <c r="B28" s="2"/>
      <c r="C28" s="2"/>
      <c r="D28"/>
      <c r="E28"/>
      <c r="F28"/>
    </row>
    <row r="29" spans="1:14" s="1" customFormat="1" ht="14.4" hidden="1" x14ac:dyDescent="0.3">
      <c r="A29" s="2"/>
      <c r="B29" s="2"/>
      <c r="C29" s="2"/>
      <c r="D29"/>
      <c r="E29"/>
      <c r="F29"/>
    </row>
    <row r="30" spans="1:14" s="1" customFormat="1" ht="14.4" hidden="1" x14ac:dyDescent="0.3">
      <c r="A30" s="2"/>
      <c r="B30" s="2"/>
      <c r="C30" s="2"/>
      <c r="D30"/>
      <c r="E30"/>
      <c r="F30"/>
    </row>
    <row r="31" spans="1:14" s="1" customFormat="1" ht="14.4" hidden="1" x14ac:dyDescent="0.3">
      <c r="A31" s="2"/>
      <c r="B31" s="2"/>
      <c r="C31" s="2"/>
      <c r="D31"/>
      <c r="E31"/>
      <c r="F31"/>
    </row>
    <row r="32" spans="1:14" s="1" customFormat="1" ht="14.4" hidden="1" x14ac:dyDescent="0.3">
      <c r="A32" s="2"/>
      <c r="B32" s="2"/>
      <c r="C32" s="2"/>
      <c r="D32"/>
      <c r="E32"/>
      <c r="F32"/>
    </row>
    <row r="33" s="1" customFormat="1" ht="14.4" hidden="1" x14ac:dyDescent="0.3"/>
    <row r="34" s="1" customFormat="1" ht="14.4" hidden="1" x14ac:dyDescent="0.3"/>
    <row r="35" s="1" customFormat="1" ht="14.4" hidden="1" x14ac:dyDescent="0.3"/>
    <row r="36" s="1" customFormat="1" ht="14.4" hidden="1" x14ac:dyDescent="0.3"/>
    <row r="37" s="1" customFormat="1" ht="14.4" hidden="1" x14ac:dyDescent="0.3"/>
    <row r="38" s="1" customFormat="1" ht="14.4" hidden="1" x14ac:dyDescent="0.3"/>
    <row r="39" s="1" customFormat="1" ht="14.4" hidden="1" x14ac:dyDescent="0.3"/>
    <row r="40" s="1" customFormat="1" ht="14.4" hidden="1" x14ac:dyDescent="0.3"/>
    <row r="41" s="1" customFormat="1" ht="14.4" hidden="1" x14ac:dyDescent="0.3"/>
    <row r="42" s="1" customFormat="1" ht="14.4" hidden="1" x14ac:dyDescent="0.3"/>
    <row r="43" s="1" customFormat="1" ht="14.4" hidden="1" x14ac:dyDescent="0.3"/>
    <row r="44" s="1" customFormat="1" ht="14.4" hidden="1" x14ac:dyDescent="0.3"/>
    <row r="45" s="1" customFormat="1" ht="14.4" hidden="1" x14ac:dyDescent="0.3"/>
    <row r="46" s="1" customFormat="1" ht="14.4" hidden="1" x14ac:dyDescent="0.3"/>
    <row r="47" s="1" customFormat="1" ht="14.4" hidden="1" x14ac:dyDescent="0.3"/>
    <row r="48" s="1" customFormat="1" ht="14.4" hidden="1" x14ac:dyDescent="0.3"/>
    <row r="49" s="1" customFormat="1" ht="14.4" hidden="1" x14ac:dyDescent="0.3"/>
    <row r="50" s="1" customFormat="1" ht="14.4" hidden="1" x14ac:dyDescent="0.3"/>
    <row r="51" s="1" customFormat="1" ht="14.4" hidden="1" x14ac:dyDescent="0.3"/>
    <row r="52" s="1" customFormat="1" ht="14.4" hidden="1" x14ac:dyDescent="0.3"/>
    <row r="53" s="1" customFormat="1" ht="14.4" hidden="1" x14ac:dyDescent="0.3"/>
    <row r="54" s="1" customFormat="1" ht="14.4" hidden="1" x14ac:dyDescent="0.3"/>
    <row r="55" s="1" customFormat="1" ht="14.4" hidden="1" x14ac:dyDescent="0.3"/>
    <row r="56" s="1" customFormat="1" ht="14.4" hidden="1" x14ac:dyDescent="0.3"/>
    <row r="57" s="1" customFormat="1" ht="14.4" hidden="1" x14ac:dyDescent="0.3"/>
    <row r="58" s="1" customFormat="1" ht="14.4" hidden="1" x14ac:dyDescent="0.3"/>
    <row r="59" s="1" customFormat="1" ht="14.4" hidden="1" x14ac:dyDescent="0.3"/>
    <row r="60" s="1" customFormat="1" ht="14.4" hidden="1" x14ac:dyDescent="0.3"/>
    <row r="61" s="1" customFormat="1" ht="14.4" hidden="1" x14ac:dyDescent="0.3"/>
    <row r="62" s="1" customFormat="1" ht="14.4" hidden="1" x14ac:dyDescent="0.3"/>
    <row r="63" s="1" customFormat="1" ht="14.4" hidden="1" x14ac:dyDescent="0.3"/>
    <row r="64" s="1" customFormat="1" ht="14.4" hidden="1" x14ac:dyDescent="0.3"/>
    <row r="65" s="1" customFormat="1" ht="14.4" hidden="1" x14ac:dyDescent="0.3"/>
    <row r="66" s="1" customFormat="1" ht="14.4" hidden="1" x14ac:dyDescent="0.3"/>
    <row r="67" s="1" customFormat="1" ht="14.4" hidden="1" x14ac:dyDescent="0.3"/>
    <row r="68" s="1" customFormat="1" ht="14.4" hidden="1" x14ac:dyDescent="0.3"/>
    <row r="69" s="1" customFormat="1" ht="14.4" hidden="1" x14ac:dyDescent="0.3"/>
    <row r="70" s="1" customFormat="1" ht="14.4" hidden="1" x14ac:dyDescent="0.3"/>
    <row r="71" s="1" customFormat="1" ht="14.4" hidden="1" x14ac:dyDescent="0.3"/>
    <row r="72" s="1" customFormat="1" ht="14.4" hidden="1" x14ac:dyDescent="0.3"/>
    <row r="73" s="1" customFormat="1" ht="14.4" hidden="1" x14ac:dyDescent="0.3"/>
    <row r="74" s="1" customFormat="1" ht="14.4" hidden="1" x14ac:dyDescent="0.3"/>
    <row r="75" s="1" customFormat="1" ht="14.4" hidden="1" x14ac:dyDescent="0.3"/>
    <row r="76" s="1" customFormat="1" ht="14.4" hidden="1" x14ac:dyDescent="0.3"/>
    <row r="77" s="1" customFormat="1" ht="14.4" hidden="1" x14ac:dyDescent="0.3"/>
    <row r="78" s="1" customFormat="1" ht="0" hidden="1" customHeight="1" x14ac:dyDescent="0.3"/>
    <row r="79" s="1" customFormat="1" ht="0" hidden="1" customHeight="1" x14ac:dyDescent="0.3"/>
    <row r="80" s="1" customFormat="1" ht="0" hidden="1" customHeight="1" x14ac:dyDescent="0.3"/>
    <row r="81" spans="1:21" ht="0" hidden="1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ht="0" hidden="1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ht="0" hidden="1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ht="0" hidden="1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0" hidden="1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ht="0" hidden="1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ht="0" hidden="1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ht="0" hidden="1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ht="0" hidden="1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ht="0" hidden="1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ht="0" hidden="1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ht="0" hidden="1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ht="0" hidden="1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ht="0" hidden="1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ht="0" hidden="1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ht="0" hidden="1" customHeight="1" x14ac:dyDescent="0.3"/>
    <row r="97" ht="0" hidden="1" customHeight="1" x14ac:dyDescent="0.3"/>
    <row r="98" ht="0" hidden="1" customHeight="1" x14ac:dyDescent="0.3"/>
    <row r="99" ht="0" hidden="1" customHeight="1" x14ac:dyDescent="0.3"/>
    <row r="100" ht="0" hidden="1" customHeight="1" x14ac:dyDescent="0.3"/>
    <row r="101" ht="0" hidden="1" customHeight="1" x14ac:dyDescent="0.3"/>
    <row r="102" ht="0" hidden="1" customHeight="1" x14ac:dyDescent="0.3"/>
    <row r="103" ht="0" hidden="1" customHeight="1" x14ac:dyDescent="0.3"/>
    <row r="104" ht="0" hidden="1" customHeight="1" x14ac:dyDescent="0.3"/>
    <row r="105" ht="0" hidden="1" customHeight="1" x14ac:dyDescent="0.3"/>
    <row r="106" ht="0" hidden="1" customHeight="1" x14ac:dyDescent="0.3"/>
    <row r="107" ht="0" hidden="1" customHeight="1" x14ac:dyDescent="0.3"/>
  </sheetData>
  <autoFilter ref="A1:F21" xr:uid="{00000000-0009-0000-0000-000000000000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Caixeiro Viajante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</dc:creator>
  <cp:lastModifiedBy>Lopes, Mateus</cp:lastModifiedBy>
  <dcterms:created xsi:type="dcterms:W3CDTF">2018-08-19T20:02:40Z</dcterms:created>
  <dcterms:modified xsi:type="dcterms:W3CDTF">2020-08-25T01:34:51Z</dcterms:modified>
</cp:coreProperties>
</file>